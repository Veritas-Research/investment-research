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Inputs" sheetId="2" r:id="rId6"/>
    <sheet state="visible" name="North America" sheetId="3" r:id="rId7"/>
    <sheet state="visible" name="Matrix" sheetId="4" r:id="rId8"/>
    <sheet state="visible" name="Odds" sheetId="5" r:id="rId9"/>
    <sheet state="visible" name="Worker check" sheetId="6" r:id="rId10"/>
  </sheets>
  <definedNames/>
  <calcPr/>
</workbook>
</file>

<file path=xl/sharedStrings.xml><?xml version="1.0" encoding="utf-8"?>
<sst xmlns="http://schemas.openxmlformats.org/spreadsheetml/2006/main" count="486" uniqueCount="341">
  <si>
    <t>The Compute Question, Part 2: the model</t>
  </si>
  <si>
    <t>Inputs: every assumption in the model</t>
  </si>
  <si>
    <t>Matrix: first year each demand and supply pairing reaches a squeeze or a shortage</t>
  </si>
  <si>
    <t>North America: token demand against token supply</t>
  </si>
  <si>
    <t>Shortage = demand above 100% of capacity. Squeeze = demand above the squeeze line on Inputs (85% by default), first tested in 2027. 'None by 2036' means supply stays ahead through the whole horizon.</t>
  </si>
  <si>
    <t>By</t>
  </si>
  <si>
    <t>Every variable sits on this sheet. Change only the blue cells; the North America, Matrix, Odds and Worker check sheets recalculate from here. Demand and supply are in trillion tokens per day, stated in 2026 mix equivalents.</t>
  </si>
  <si>
    <t>Every cell is a formula driven by the Inputs sheet. Tokens in trillion tokens per day; capacity in gigawatts (GW) of information technology (IT) power for AI. Columns are mid year; 2032 to 2036 are a rough extension.</t>
  </si>
  <si>
    <t>North America: first shortage year</t>
  </si>
  <si>
    <t>Mark A, Veritas Research. Companion spreadsheet to the article The Compute Question, Part 2 (October 2026).</t>
  </si>
  <si>
    <t>Evidence labels, as in the article: Verified (the author checked the source document), Reported (a named outlet or an on the record statement), Secondhand (summaries, call transcripts or aggregators), Estimate (an analyst or research group model, or the author's own arithmetic). Setting means a switch or choice for the reader.</t>
  </si>
  <si>
    <t>Year (mid year)</t>
  </si>
  <si>
    <t>Input</t>
  </si>
  <si>
    <t>Demand path</t>
  </si>
  <si>
    <t>Value</t>
  </si>
  <si>
    <t>Low supply</t>
  </si>
  <si>
    <t>Base supply</t>
  </si>
  <si>
    <t>Unit</t>
  </si>
  <si>
    <t>High supply</t>
  </si>
  <si>
    <t>Source or note</t>
  </si>
  <si>
    <t>Evidence</t>
  </si>
  <si>
    <t>S1 Early cloud pace</t>
  </si>
  <si>
    <t>1. Scenario switches (change these first)</t>
  </si>
  <si>
    <t>Supply path used on the load rows</t>
  </si>
  <si>
    <t>Shared drivers</t>
  </si>
  <si>
    <t>What the model does</t>
  </si>
  <si>
    <t>Inference share of AI compute (after any training shift)</t>
  </si>
  <si>
    <t>It asks when demand for AI tokens could outgrow the data center capacity built to serve it in North America, year by year from 2026 to 2036.</t>
  </si>
  <si>
    <t>It runs eight demand paths (S1 to S8) against three supply paths (Low, Base, High), which gives 24 pairings.</t>
  </si>
  <si>
    <t>For each pairing it finds the first year demand passes 85% of capacity (a squeeze, where rationing and price rises are assumed to start) and the first year it passes 100% (a shortage).</t>
  </si>
  <si>
    <t>Weights on each demand path and each supply path turn those 24 answers into odds.</t>
  </si>
  <si>
    <t>Supply in tokens per day = capacity in gigawatts x share used for inference x share serving language models x change in utilization x throughput per megawatt x tokens per watt index x memory gate factor.</t>
  </si>
  <si>
    <t>Demand starts from tokens served today and grows along each path, with growth fading over time.</t>
  </si>
  <si>
    <t>How to use it</t>
  </si>
  <si>
    <t>Change only the blue cells, and only on the Inputs sheet. Every other number is a formula, so one change ripples through every sheet.</t>
  </si>
  <si>
    <t>Start with the switches in Inputs section 1: the supply path used on the load rows, the demand unit, a training shift, the memory gate and the High path slippage haircut.</t>
  </si>
  <si>
    <t>The odds weights are in Inputs section 10. Demand weights should sum to 100 and supply weights to 100; the check rows show the totals.</t>
  </si>
  <si>
    <t>To test the two numbers nobody publishes, try 12 and 20 GW for capacity today and 0.6 and 1.0 for throughput (Inputs section 3).</t>
  </si>
  <si>
    <t>What each sheet does</t>
  </si>
  <si>
    <t>Read me</t>
  </si>
  <si>
    <t>1 = Low, 2 = Base, 3 = High</t>
  </si>
  <si>
    <t>This page.</t>
  </si>
  <si>
    <t>Inputs</t>
  </si>
  <si>
    <t>Every assumption, with its unit, source and evidence label. The only sheet you need to edit.</t>
  </si>
  <si>
    <t>Sets which supply path the load rows on the North America sheet divide by. The Matrix and Odds sheets always use all three paths.</t>
  </si>
  <si>
    <t>North America</t>
  </si>
  <si>
    <t>Setting</t>
  </si>
  <si>
    <t>Year by year supply for each supply path, demand for each demand path, load (demand as a share of supply), the memory gate, and helper rows that feed the Matrix.</t>
  </si>
  <si>
    <t>Demand unit</t>
  </si>
  <si>
    <t>Matrix</t>
  </si>
  <si>
    <t>The first squeeze year and first shortage year for every demand and supply pairing.</t>
  </si>
  <si>
    <t>Odds</t>
  </si>
  <si>
    <t>1 = raw tokens, 2 = compute weighted</t>
  </si>
  <si>
    <t>The weighted share of pairings that reach a squeeze or a shortage by each horizon year, plus today's load.</t>
  </si>
  <si>
    <t>Compute weighted (the default) discounts input and cached tokens by their compute cost. Raw tokens match what companies publish but overstate load, because cached rereads cost far less than new output.</t>
  </si>
  <si>
    <t>Worker check</t>
  </si>
  <si>
    <t>A side cross check: how much token demand North American workers alone could explain. It does not feed the model.</t>
  </si>
  <si>
    <t>Extra share of AI compute moved to training</t>
  </si>
  <si>
    <t>Evidence labels used on the Inputs sheet</t>
  </si>
  <si>
    <t>percentage points (try 0, 10 or 20)</t>
  </si>
  <si>
    <t>Verified</t>
  </si>
  <si>
    <t>0 keeps today's split between training and inference. 10 or 20 moves that many points of compute from inference to training from 2027.</t>
  </si>
  <si>
    <t>The author opened the company filing, release, regulator page or dataset.</t>
  </si>
  <si>
    <t>Reported</t>
  </si>
  <si>
    <t>Memory gate on 2027 supply</t>
  </si>
  <si>
    <t>A named outlet reported it, or a person said it on the record, but the underlying document was not seen.</t>
  </si>
  <si>
    <t>Secondhand</t>
  </si>
  <si>
    <t>1 = on, 0 = off</t>
  </si>
  <si>
    <t>Found only through summaries, call transcripts or aggregators.</t>
  </si>
  <si>
    <t>Estimate</t>
  </si>
  <si>
    <t>Memory chip output for 2027 is largely committed already: Micron said on its 30 September 2026 earnings call that more than 75% of 2027 output is committed and that new clean rooms arrive from late 2028 (Secondhand, call transcript). When on, no supply path may grow effective capacity in 2027 faster than the cap in section 7. At the default cap it binds only on the High path.</t>
  </si>
  <si>
    <t>An analyst model, a research group's model, or the author's own arithmetic. A range, not a fact.</t>
  </si>
  <si>
    <t>High path slippage haircut</t>
  </si>
  <si>
    <t>A switch or choice for the reader, not a claim about the world.</t>
  </si>
  <si>
    <t>When on, the High path's 2027 additions are cut by the slippage share in section 7, because not every announced project lands on time.</t>
  </si>
  <si>
    <t>Key caveats</t>
  </si>
  <si>
    <t>Count idle time once</t>
  </si>
  <si>
    <t>Two of the most important inputs are unpublished: how much AI capacity is running in North America today, and how many tokens a megawatt really serves. Both are the author's estimates. Depending on them, today's load could sit anywhere from about 36% to 100%; the central case is about 60%.</t>
  </si>
  <si>
    <t>1 = yes (default), 0 = no</t>
  </si>
  <si>
    <t>The throughput figure in section 3 is calibrated to what Google and OpenAI actually deliver, so it already includes idle time. With 1, the model applies only the change in utilization after 2026. With 0 it applies utilization a second time, which understates supply; 0 is kept only as a check.</t>
  </si>
  <si>
    <t>The 85% squeeze line is an assumption, not a measurement. Market signals (rents, vacancy, supplier statements) behave as if the fleet were fuller than the central case says.</t>
  </si>
  <si>
    <t>The odds are low confidence. They are weights the author chose, applied to paths the author built. They describe how much of the scenario space ends in a squeeze; they are not a forecast.</t>
  </si>
  <si>
    <t>2. Demand today (mid 2026)</t>
  </si>
  <si>
    <t>Efficiency after 2027 is the 2027 gain faded year by year, not researched separately for 2028 onward.</t>
  </si>
  <si>
    <t>Demand is stated in 2026 mix equivalents. The compute weighted unit discounts input and cached tokens with estimated weights.</t>
  </si>
  <si>
    <t>Columns are mid year. 2032 to 2036 are a rough extension.</t>
  </si>
  <si>
    <t>Tokens served per day outside China, all labs</t>
  </si>
  <si>
    <t>License</t>
  </si>
  <si>
    <t>Mark A, Veritas Research, CC BY 4.0. Not investment advice.</t>
  </si>
  <si>
    <t>trillion tokens per day</t>
  </si>
  <si>
    <t>S2 Internet after 2001</t>
  </si>
  <si>
    <t>Range 190 to 300. Google 107 trillion a day (May 2026, Verified). OpenAI about 35 to 40 trillion in mid 2026 (its application programming interface (API) passed 21.6 trillion a day on 31 March 2026, Verified, plus growth and ChatGPT). Anthropic does not disclose (tracker estimate 32 trillion, range 14 to 69). Cross checks: an outside desk research estimate of 190 (150 to 275); tokensperday.com disclosed US floor of 160 (July 2026); Exponential View via Epoch AI, 432 global less about 140 for China, so about 290.</t>
  </si>
  <si>
    <t>Share of that demand served from North American data centers</t>
  </si>
  <si>
    <t>share</t>
  </si>
  <si>
    <t>North America is 47% of OpenRouter spend, but most demand from other regions is also served from US data centers (Epoch AI: tracked sites are predominantly in the US).</t>
  </si>
  <si>
    <t>3. Capacity today (mid 2026): the two numbers nobody publishes</t>
  </si>
  <si>
    <t>North American AI data center capacity in operation</t>
  </si>
  <si>
    <t>gigawatts (GW) of information technology (IT) power for AI</t>
  </si>
  <si>
    <t>No primary source publishes this. Outside figures point to about 11 GW (end 2025) to 19 GW (end 2026); Bloomberg Intelligence about 9 GW live (March 2026, scope unclear). Epoch AI tracks 13.6 GW at 93 frontier sites (30 September 2026), mostly in the US. Treat it as a range and try 12 and 20. At 12 GW, today's load is about 75%.</t>
  </si>
  <si>
    <t>Fleet average throughput in real service, 2026</t>
  </si>
  <si>
    <t>million tokens per second per megawatt (MW)</t>
  </si>
  <si>
    <t>Tokens delivered per second per MW of language model inference capacity, idle time included. Google: about 107 trillion a day on roughly 1.2 GW of inference, about 1.0. OpenAI: roughly 50 trillion a day on roughly 1 GW, about 0.6. Central case is the midpoint, 0.8; try 0.6 and 1.0. Benchmark best cases are far higher: H200 2.26, B200 6.95, GB300 21 to 28.5 (SemiAnalysis InferenceX, September 2026, one open model).</t>
  </si>
  <si>
    <t>4. How capacity turns into tokens</t>
  </si>
  <si>
    <t>S3 Mobile data</t>
  </si>
  <si>
    <t>Share of AI compute used for inference, 2026</t>
  </si>
  <si>
    <t>McKinsey (February 2026): 47.5% in 2025, 60% in 2030, power basis. Epoch AI: OpenAI roughly half in 2025. Range 45% to 65%.</t>
  </si>
  <si>
    <t>Yearly rise in inference share</t>
  </si>
  <si>
    <t>percentage points a year</t>
  </si>
  <si>
    <t>McKinsey path: 47.5% (2025) to 60% (2030).</t>
  </si>
  <si>
    <t>Ceiling on inference share</t>
  </si>
  <si>
    <t>Author's estimate.</t>
  </si>
  <si>
    <t>Share of inference capacity that serves language model tokens</t>
  </si>
  <si>
    <t>Author's estimate. A bottom up count by chip owner puts 30% to 40% of all installed AI accelerators on language model tokens (Epoch AI chip stock by owner, shares judged). 50% inference x 60% = 30%, the low end of that band.</t>
  </si>
  <si>
    <t>Share of time inference servers are busy, 2026</t>
  </si>
  <si>
    <t>Lawrence Berkeley National Laboratory (December 2024): 40% (range 37.5% to 42.5%), a modelling assumption in that report, before the agent era. Used only as the starting point for the rise below, because the throughput figure already includes today's idle time.</t>
  </si>
  <si>
    <t>Yearly rise in utilization as batch and agent work fills quiet hours</t>
  </si>
  <si>
    <t>Ceiling on utilization</t>
  </si>
  <si>
    <t>Author's estimate. SemiAnalysis uses 60% in its revenue per gigawatt math.</t>
  </si>
  <si>
    <t>Yearly growth in compute needed per token (bigger models, more reasoning)</t>
  </si>
  <si>
    <t>multiple a year</t>
  </si>
  <si>
    <t>Author's estimate, deliberately cautious. Efficiency data is for a constant model; frontier models keep growing. Range 1.0 to 1.5. The supply path efficiency multiples in section 8 are divided by this.</t>
  </si>
  <si>
    <t>Yearly growth in capacity additions after 2031</t>
  </si>
  <si>
    <t>per year</t>
  </si>
  <si>
    <t>Author's estimate for the rough extension to 2036.</t>
  </si>
  <si>
    <t>5. Token mix (used only with the compute weighted unit)</t>
  </si>
  <si>
    <t>S4 Today's pace, then fading (headline)</t>
  </si>
  <si>
    <t>Cached input tokens as a share of all tokens, 2026</t>
  </si>
  <si>
    <t>share of all tokens</t>
  </si>
  <si>
    <t>Cached share of input tokens by provider (Requesty, April 2026): Anthropic 77.5%, OpenAI 36.4%, Gemini on Vertex 9.6%. Coding agents run above 90%.</t>
  </si>
  <si>
    <t>Yearly rise in cached share as agents grow</t>
  </si>
  <si>
    <t>Ceiling on cached share</t>
  </si>
  <si>
    <t>New output tokens as a share of all tokens, 2026</t>
  </si>
  <si>
    <t>Epoch AI assumes about 11% for Google (8 to 1 input to output).</t>
  </si>
  <si>
    <t>Compute weight of a fresh input token</t>
  </si>
  <si>
    <t>relative to an output token (= 1)</t>
  </si>
  <si>
    <t>Range 0.02 to 0.3. Built from measured prefill versus decode cost (arXiv 2512.01644 and 2602.05712). Price pages imply 0.2.</t>
  </si>
  <si>
    <t>Compute weight of a cached input token</t>
  </si>
  <si>
    <t>Range 0.001 to 0.03. No measurement isolates it. Price pages imply 0.02 to 0.1. Cached context still holds chip memory and slows output on long contexts (Epoch AI: output throughput falls 40x from short to very long context).</t>
  </si>
  <si>
    <t>6. Squeeze line</t>
  </si>
  <si>
    <t>Squeeze line: load where rationing and price rises start</t>
  </si>
  <si>
    <t>share of capacity</t>
  </si>
  <si>
    <t>Author's assumption, not a measurement. At 40% average utilization the daily peak already runs near full, so rationing starts before the average reaches 100%. A shortage is always demand above 100% of capacity.</t>
  </si>
  <si>
    <t>7. Memory gate and High path slippage settings</t>
  </si>
  <si>
    <t>Memory gate: cap on 2027 growth in effective capacity</t>
  </si>
  <si>
    <t>multiple of Base path growth (1 = Base)</t>
  </si>
  <si>
    <t>Effective capacity = GW x tokens per watt index (chips in buildings, before inference share and utilization). At 1.0 no path may grow effective capacity in 2027 faster than Base does, so it binds only on High. Base growth is already planned against committed memory. Set below 1 to make the gate bind on Base too.</t>
  </si>
  <si>
    <t>S8 Acceleration, then fading</t>
  </si>
  <si>
    <t>Memory gate: share of the 2027 shortfall still missing in 2028</t>
  </si>
  <si>
    <t>share (0 = full catch up in 2028)</t>
  </si>
  <si>
    <t>0 means the gate only delays chips by one year. New clean rooms land in late 2028, so 0.5 is a defensible tighter test. 2029 onward is never gated.</t>
  </si>
  <si>
    <t>High path slippage: share of announced 2027 additions that slip</t>
  </si>
  <si>
    <t>Slippage estimates run from 25% to 35% (SynMax) up to 30% to 50% (Sightline); 25% is the low end. Applied to 2027 additions; later years compound from the lower base.</t>
  </si>
  <si>
    <t>8. Supply paths: Low, Base and High (North America)</t>
  </si>
  <si>
    <t>Parameter</t>
  </si>
  <si>
    <t>Low</t>
  </si>
  <si>
    <t>Base</t>
  </si>
  <si>
    <t>High</t>
  </si>
  <si>
    <t>Basis</t>
  </si>
  <si>
    <t>North America: GW added in 2027</t>
  </si>
  <si>
    <t>GW</t>
  </si>
  <si>
    <t>Low: additions stay near the record grid connection year of 7.1 GW, and 33% to 50% of projects slip (Sightline). Base: Microsoft doubling its capacity in two years (+41% a year); named projects of 4 to 5 GW in 2026; the author's own derivation puts 2027 additions near 15 GW, so 12 is a partial move toward it. High: 20 GW announced, less the slippage haircut in section 7 (25%), gives 15 GW in 2027, in line with the author's own derivation of 2027 additions near 15 GW (Estimate). High is at or above Base in every year.</t>
  </si>
  <si>
    <t>North America: yearly growth in additions, 2028 to 2031</t>
  </si>
  <si>
    <t>Growth in each year's additions over the year before. After 2031 all paths use the rate in section 4.</t>
  </si>
  <si>
    <t>Efficiency: fleet tokens per watt multiple in 2027, gross</t>
  </si>
  <si>
    <t>multiple</t>
  </si>
  <si>
    <t>Gross gain across the whole fleet, before the bigger models factor in section 4 (net gain = multiple / 1.2). Low 1.45 (net +21%): one chip generation gives about 1.5x on hardware alone (arXiv 2601.22076), held flat. Base 2.04 (net +70%): hardware dilution of about 1.45x because old chips stay in service, plus software of about 1.3x. High 3.30 (net +175%): what Google realized in tokens per unit of capital, up about 3.3x to 3.7x in the year to May 2026, including a shift to smaller models.</t>
  </si>
  <si>
    <t>Efficiency: yearly fade factor</t>
  </si>
  <si>
    <t>factor</t>
  </si>
  <si>
    <t>Each later year's gross gain = the 2027 multiple x this factor for every year after 2027. 1 = no fade. Base and High fade because software gains are mostly one time.</t>
  </si>
  <si>
    <t>Efficiency: floor multiple</t>
  </si>
  <si>
    <t>The yearly gross gain never falls below this multiple.</t>
  </si>
  <si>
    <t>9. Demand paths S1 to S8</t>
  </si>
  <si>
    <t>Growth in year t (2027 is t = 1) = g0 / (1 + k x max(0, t minus H)). Demand multiplies by (1 + growth) each year, so g0 = 3 means 4x in 2027. H is the number of years held at the starting growth before fading begins (H = 1 means fading starts in 2028). The paths fade the way internet, mobile and cloud traffic did.</t>
  </si>
  <si>
    <t>Growth in 2027 (g0)</t>
  </si>
  <si>
    <t>Fade speed (k)</t>
  </si>
  <si>
    <t>Years at full pace (H)</t>
  </si>
  <si>
    <t>S5 Last year's pace returns</t>
  </si>
  <si>
    <t>growth (1.0 = +100%), factor, years</t>
  </si>
  <si>
    <t>Cloud services analog: Amazon Web Services (AWS) revenue never doubled; 70% decaying to about 20%. Close to DigitalOcean's forecast of +78% a year.</t>
  </si>
  <si>
    <t>Internet traffic after 2001: about 100% a year, decaying.</t>
  </si>
  <si>
    <t>Mobile data analog: just under Goldman Sachs (24x from 2026 to 2030); this path gives about 16x.</t>
  </si>
  <si>
    <t>4x next year. Google API tokens 3.6x annualized (second quarter 2026), China 3.8x, tracker trailing year 4.5x. About 49x by 2030, double Goldman Sachs. The headline case.</t>
  </si>
  <si>
    <t>5x in 2027, then fades like S4 (3.4x in 2028, 2.7x in 2029). The author's expected case: agents speed adoption up before it slows.</t>
  </si>
  <si>
    <t>7x next year. Google tokens grew 6.7x in the year to May 2026; Epoch AI cites about 10x.</t>
  </si>
  <si>
    <t>S6 Today's pace for three years</t>
  </si>
  <si>
    <t>4x a year in 2027, 2028 and 2029, then fades like S4. About 64x by 2029 and 230x by 2031, above Goldman Sachs. A stress test of the upside, not a central case.</t>
  </si>
  <si>
    <t>S7 Demand falls</t>
  </si>
  <si>
    <t>Token use drops 25% in 2027 and keeps edging down (about 35% below today by 2031). No historical analog: internet traffic never fell. Built from the bear evidence: Uber capped AI tools at $1,500 per employee per month, enterprise token rationing, credit stress at data center builders. A stress test, not a forecast.</t>
  </si>
  <si>
    <t>10. Odds weights (judgments, not data: change them freely)</t>
  </si>
  <si>
    <t>Weight</t>
  </si>
  <si>
    <t>Note</t>
  </si>
  <si>
    <t>Weight on S1 Early cloud pace</t>
  </si>
  <si>
    <t>points (demand weights sum to 100)</t>
  </si>
  <si>
    <t>Author's judgment. S4 (the headline case) carries the most weight; S8 is the faster case the author expects. Used only on the Odds sheet.</t>
  </si>
  <si>
    <t>Weight on S2 Internet after 2001</t>
  </si>
  <si>
    <t>Weight on S3 Mobile data</t>
  </si>
  <si>
    <t>Utilization (share of time serving)</t>
  </si>
  <si>
    <t>Weight on S4 Today's pace, then fading (headline)</t>
  </si>
  <si>
    <t>Weight on S8 Acceleration, then fading</t>
  </si>
  <si>
    <t>Weight on S5 Last year's pace returns</t>
  </si>
  <si>
    <t>Weight on S6 Today's pace for three years</t>
  </si>
  <si>
    <t>Weight on S7 Demand falls</t>
  </si>
  <si>
    <t>Odds: how much of the weighted scenario space reaches a squeeze or a shortage</t>
  </si>
  <si>
    <t>Check: demand weights sum to</t>
  </si>
  <si>
    <t>Each of the 24 pairings (8 demand paths x 3 supply paths) gets a weight of demand weight x supply weight (Inputs section 10). The odds are the weighted share of pairings whose first squeeze or shortage year on the Matrix sheet falls in or before the horizon year. These are judgments built on judgments: read them as how much of the scenario space ends in a squeeze, not as a forecast.</t>
  </si>
  <si>
    <t>Main horizon (Inputs section 10)</t>
  </si>
  <si>
    <t>should be 100</t>
  </si>
  <si>
    <t>Weight on Low supply</t>
  </si>
  <si>
    <t>points (supply weights sum to 100)</t>
  </si>
  <si>
    <t>Author's judgment. The Low path's +21% efficiency is a fair pessimistic case.</t>
  </si>
  <si>
    <t>Weight on Base supply</t>
  </si>
  <si>
    <t>Weight on High supply</t>
  </si>
  <si>
    <t>Check: supply weights sum to</t>
  </si>
  <si>
    <t>Main horizon year for the odds</t>
  </si>
  <si>
    <t>year</t>
  </si>
  <si>
    <t>The odds count pairings that reach the condition in or before this year.</t>
  </si>
  <si>
    <t>North America: first squeeze year</t>
  </si>
  <si>
    <t>Second horizon year for the odds</t>
  </si>
  <si>
    <t>Shown separately on the Odds sheet, because the main horizon alone hides how soon a squeeze lands. Set it to 2027 for the odds in 2027.</t>
  </si>
  <si>
    <t>11. Worker usage cross check (feeds only the Worker check sheet, not the model)</t>
  </si>
  <si>
    <t>Usage tier</t>
  </si>
  <si>
    <t>Tokens per person per day</t>
  </si>
  <si>
    <t>Share of workers 2026</t>
  </si>
  <si>
    <t>Share of workers 2029</t>
  </si>
  <si>
    <t>Non users</t>
  </si>
  <si>
    <t>tokens; share; share</t>
  </si>
  <si>
    <t>Gallup (May 2026): 52% of US employees use AI at work at least a few times a year.</t>
  </si>
  <si>
    <t>Light users (a few times a year to monthly)</t>
  </si>
  <si>
    <t>Gallup: 52% minus 30%. Tokens per day is an estimate; no measured source.</t>
  </si>
  <si>
    <t>Weekly users</t>
  </si>
  <si>
    <t>Gallup: 30% minus 15%. Tokens per day is an estimate.</t>
  </si>
  <si>
    <t>Daily users</t>
  </si>
  <si>
    <t>Gallup: 15% daily, less the power user share. Tokens per day built from a chat base times 4x for agent style use (Anthropic, June 2025).</t>
  </si>
  <si>
    <t>Power users (daily agentic work)</t>
  </si>
  <si>
    <t>Share is the author's estimate; the author's own observation inside one large employer is under 0.1%. Tokens per day derived from an AI coding agent's published average cost of $13 per developer per active day (Anthropic documentation); the derivation is unverified, range 3 million to 25 million.</t>
  </si>
  <si>
    <t>Employed people, United States plus Canada</t>
  </si>
  <si>
    <t>millions</t>
  </si>
  <si>
    <t>US Bureau of Labor Statistics (BLS), August 2026: 162.7 million employed (Verified). Canada 21.2 million (Secondhand).</t>
  </si>
  <si>
    <t>Share of Western demand with North American origin</t>
  </si>
  <si>
    <t>OpenRouter: 47% of spend. The remainder is consumer use, product features such as search overviews, and agents.</t>
  </si>
  <si>
    <t>Utilization factor applied to supply (change versus 2026)</t>
  </si>
  <si>
    <t>Cached input share of all tokens</t>
  </si>
  <si>
    <t>Worker check: how much demand can people at work explain?</t>
  </si>
  <si>
    <t>A cross check only; nothing here feeds the model. It asks whether the demand paths are plausible from North American workers alone. Inputs are on the Inputs sheet, section 11.</t>
  </si>
  <si>
    <t>Compute per raw token (output token = 1)</t>
  </si>
  <si>
    <t>Check: shares sum to</t>
  </si>
  <si>
    <t>Employed people, United States plus Canada (millions)</t>
  </si>
  <si>
    <t>Worker token demand 2026 (trillion tokens per day)</t>
  </si>
  <si>
    <t>Worker token demand 2029 (trillion tokens per day)</t>
  </si>
  <si>
    <t>Multiple from the change in mix alone, 2026 to 2029</t>
  </si>
  <si>
    <t>Same, as a yearly growth multiple</t>
  </si>
  <si>
    <t>Worker demand as a share of all North American origin demand, 2026</t>
  </si>
  <si>
    <t>Today's load, North America, 2026 (demand as a share of capacity)</t>
  </si>
  <si>
    <t>Second horizon (Inputs section 10)</t>
  </si>
  <si>
    <t>Demand weighting factor versus 2026 (1 if raw tokens chosen)</t>
  </si>
  <si>
    <t>Low supply path</t>
  </si>
  <si>
    <t>Gigawatts added in the year</t>
  </si>
  <si>
    <t>AI capacity in operation, GW</t>
  </si>
  <si>
    <t>Tokens per watt index (2026 = 1), net of bigger models</t>
  </si>
  <si>
    <t>Supply, Low path (trillion tokens per day)</t>
  </si>
  <si>
    <t>Base supply path</t>
  </si>
  <si>
    <t>Supply, Base path (trillion tokens per day)</t>
  </si>
  <si>
    <t>High supply path</t>
  </si>
  <si>
    <t>Supply, High path (trillion tokens per day)</t>
  </si>
  <si>
    <t>Demand paths (trillion tokens per day, in the unit chosen on Inputs)</t>
  </si>
  <si>
    <t>Demand, S1 Early cloud pace</t>
  </si>
  <si>
    <t>Demand, S2 Internet after 2001</t>
  </si>
  <si>
    <t>Demand, S3 Mobile data</t>
  </si>
  <si>
    <t>Demand, S4 Today's pace, then fading (headline)</t>
  </si>
  <si>
    <t>Demand, S8 Acceleration, then fading</t>
  </si>
  <si>
    <t>Demand, S5 Last year's pace returns</t>
  </si>
  <si>
    <t>Demand, S6 Today's pace for three years</t>
  </si>
  <si>
    <t>Demand, S7 Demand falls</t>
  </si>
  <si>
    <t>Supply path chosen on Inputs (section 1)</t>
  </si>
  <si>
    <t>Supply, chosen path (trillion tokens per day)</t>
  </si>
  <si>
    <t>Load: demand as a share of the chosen supply path (squeeze line on Inputs; 100% or more = shortage)</t>
  </si>
  <si>
    <t>Load, S1 Early cloud pace</t>
  </si>
  <si>
    <t>Load, S2 Internet after 2001</t>
  </si>
  <si>
    <t>Load, S3 Mobile data</t>
  </si>
  <si>
    <t>Load, S4 Today's pace, then fading (headline)</t>
  </si>
  <si>
    <t>Load, S8 Acceleration, then fading</t>
  </si>
  <si>
    <t>Load, S5 Last year's pace returns</t>
  </si>
  <si>
    <t>Load, S6 Today's pace for three years</t>
  </si>
  <si>
    <t>Load, S7 Demand falls</t>
  </si>
  <si>
    <t>Memory gate: cap on 2027 growth in effective capacity (effective capacity = GW x tokens per watt index)</t>
  </si>
  <si>
    <t>Effective capacity growth in 2027, Low path (multiple)</t>
  </si>
  <si>
    <t>Effective capacity growth in 2027, Base path (multiple)</t>
  </si>
  <si>
    <t>Effective capacity growth in 2027, High path (multiple)</t>
  </si>
  <si>
    <t>Cap on 2027 effective capacity growth (multiple)</t>
  </si>
  <si>
    <t>Memory gate factor on supply, Low path (1 = not binding)</t>
  </si>
  <si>
    <t>Memory gate factor on supply, Base path (1 = not binding)</t>
  </si>
  <si>
    <t>Memory gate factor on supply, High path (1 = not binding)</t>
  </si>
  <si>
    <t>Helper rows for the Matrix sheet: the year if the test is met, else 9999</t>
  </si>
  <si>
    <t>Shortage test: Low supply, S1</t>
  </si>
  <si>
    <t>Squeeze test: Low supply, S1</t>
  </si>
  <si>
    <t>Shortage test: Low supply, S2</t>
  </si>
  <si>
    <t>Squeeze test: Low supply, S2</t>
  </si>
  <si>
    <t>Shortage test: Low supply, S3</t>
  </si>
  <si>
    <t>Squeeze test: Low supply, S3</t>
  </si>
  <si>
    <t>Shortage test: Low supply, S4</t>
  </si>
  <si>
    <t>Squeeze test: Low supply, S4</t>
  </si>
  <si>
    <t>Shortage test: Low supply, S8</t>
  </si>
  <si>
    <t>Squeeze test: Low supply, S8</t>
  </si>
  <si>
    <t>Shortage test: Low supply, S5</t>
  </si>
  <si>
    <t>Squeeze test: Low supply, S5</t>
  </si>
  <si>
    <t>Shortage test: Low supply, S6</t>
  </si>
  <si>
    <t>Squeeze test: Low supply, S6</t>
  </si>
  <si>
    <t>Shortage test: Low supply, S7</t>
  </si>
  <si>
    <t>Squeeze test: Low supply, S7</t>
  </si>
  <si>
    <t>Shortage test: Base supply, S1</t>
  </si>
  <si>
    <t>Squeeze test: Base supply, S1</t>
  </si>
  <si>
    <t>Shortage test: Base supply, S2</t>
  </si>
  <si>
    <t>Squeeze test: Base supply, S2</t>
  </si>
  <si>
    <t>Shortage test: Base supply, S3</t>
  </si>
  <si>
    <t>Squeeze test: Base supply, S3</t>
  </si>
  <si>
    <t>Shortage test: Base supply, S4</t>
  </si>
  <si>
    <t>Squeeze test: Base supply, S4</t>
  </si>
  <si>
    <t>Shortage test: Base supply, S8</t>
  </si>
  <si>
    <t>Squeeze test: Base supply, S8</t>
  </si>
  <si>
    <t>Shortage test: Base supply, S5</t>
  </si>
  <si>
    <t>Squeeze test: Base supply, S5</t>
  </si>
  <si>
    <t>Shortage test: Base supply, S6</t>
  </si>
  <si>
    <t>Squeeze test: Base supply, S6</t>
  </si>
  <si>
    <t>Shortage test: Base supply, S7</t>
  </si>
  <si>
    <t>Squeeze test: Base supply, S7</t>
  </si>
  <si>
    <t>Shortage test: High supply, S1</t>
  </si>
  <si>
    <t>Squeeze test: High supply, S1</t>
  </si>
  <si>
    <t>Shortage test: High supply, S2</t>
  </si>
  <si>
    <t>Squeeze test: High supply, S2</t>
  </si>
  <si>
    <t>Shortage test: High supply, S3</t>
  </si>
  <si>
    <t>Squeeze test: High supply, S3</t>
  </si>
  <si>
    <t>Shortage test: High supply, S4</t>
  </si>
  <si>
    <t>Squeeze test: High supply, S4</t>
  </si>
  <si>
    <t>Shortage test: High supply, S8</t>
  </si>
  <si>
    <t>Squeeze test: High supply, S8</t>
  </si>
  <si>
    <t>Shortage test: High supply, S5</t>
  </si>
  <si>
    <t>Squeeze test: High supply, S5</t>
  </si>
  <si>
    <t>Shortage test: High supply, S6</t>
  </si>
  <si>
    <t>Squeeze test: High supply, S6</t>
  </si>
  <si>
    <t>Shortage test: High supply, S7</t>
  </si>
  <si>
    <t>Squeeze test: High supply, S7</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</si>
</sst>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0.000"/>
    <numFmt numFmtId="167" formatCode="#,##0.0"/>
  </numFmts>
  <fonts count="11">
    <font>
      <sz val="11.0"/>
      <color theme="1"/>
      <name val="Calibri"/>
      <scheme val="minor"/>
    </font>
    <font>
      <b/>
      <sz val="14.0"/>
      <color theme="1"/>
      <name val="Calibri"/>
    </font>
    <font>
      <sz val="9.0"/>
      <color rgb="FF595959"/>
      <name val="Calibri"/>
    </font>
    <font>
      <sz val="10.0"/>
      <color theme="1"/>
      <name val="Calibri"/>
    </font>
    <font>
      <b/>
      <sz val="11.0"/>
      <color rgb="FF1F3864"/>
      <name val="Calibri"/>
    </font>
    <font>
      <sz val="11.0"/>
      <color theme="1"/>
      <name val="Calibri"/>
    </font>
    <font>
      <b/>
      <sz val="10.0"/>
      <color theme="1"/>
      <name val="Calibri"/>
    </font>
    <font>
      <sz val="10.0"/>
      <color rgb="FF0000FF"/>
      <name val="Calibri"/>
    </font>
    <font>
      <u/>
      <sz val="10.0"/>
      <color rgb="FF0000FF"/>
      <name val="Calibri"/>
    </font>
    <font>
      <i/>
      <sz val="10.0"/>
      <color rgb="FF595959"/>
      <name val="Calibri"/>
    </font>
    <font>
      <sz val="9.0"/>
      <color rgb="FF808080"/>
      <name val="Calibri"/>
    </font>
  </fonts>
  <fills count="5">
    <fill>
      <patternFill patternType="none"/>
    </fill>
    <fill>
      <patternFill patternType="lightGray"/>
    </fill>
    <fill>
      <patternFill patternType="solid">
        <fgColor rgb="FFF2F2F2"/>
        <bgColor rgb="FFF2F2F2"/>
      </patternFill>
    </fill>
    <fill>
      <patternFill patternType="solid">
        <fgColor rgb="FFD9D9D9"/>
        <bgColor rgb="FFD9D9D9"/>
      </patternFill>
    </fill>
    <fill>
      <patternFill patternType="solid">
        <fgColor rgb="FFDDEBF7"/>
        <bgColor rgb="FFDDEBF7"/>
      </patternFill>
    </fill>
  </fills>
  <borders count="4">
    <border/>
    <border>
      <left/>
      <right/>
      <top/>
      <bottom/>
    </border>
    <border>
      <left/>
      <right/>
      <top/>
      <bottom style="thin">
        <color rgb="FFD9D9D9"/>
      </bottom>
    </border>
    <border>
      <bottom style="thin">
        <color rgb="FFD9D9D9"/>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top" wrapText="0"/>
    </xf>
    <xf borderId="0" fillId="0" fontId="3" numFmtId="0" xfId="0" applyAlignment="1" applyFont="1">
      <alignment shrinkToFit="0" vertical="top" wrapText="1"/>
    </xf>
    <xf borderId="0" fillId="0" fontId="2" numFmtId="0" xfId="0" applyAlignment="1" applyFont="1">
      <alignment shrinkToFit="0" vertical="top" wrapText="0"/>
    </xf>
    <xf borderId="1" fillId="2" fontId="4" numFmtId="0" xfId="0" applyAlignment="1" applyBorder="1" applyFill="1" applyFont="1">
      <alignment shrinkToFit="0" vertical="bottom" wrapText="0"/>
    </xf>
    <xf borderId="0" fillId="0" fontId="2" numFmtId="0" xfId="0" applyAlignment="1" applyFont="1">
      <alignment shrinkToFit="0" vertical="top" wrapText="1"/>
    </xf>
    <xf borderId="1" fillId="2" fontId="5" numFmtId="0" xfId="0" applyAlignment="1" applyBorder="1" applyFill="1" applyFont="1">
      <alignment shrinkToFit="0" vertical="bottom" wrapText="0"/>
    </xf>
    <xf borderId="1" fillId="3" fontId="6" numFmtId="0" xfId="0" applyAlignment="1" applyBorder="1" applyFill="1" applyFont="1">
      <alignment shrinkToFit="0" vertical="center" wrapText="1"/>
    </xf>
    <xf borderId="1" fillId="3" fontId="6" numFmtId="0" xfId="0" applyAlignment="1" applyBorder="1" applyFill="1" applyFont="1">
      <alignment shrinkToFit="0" vertical="bottom" wrapText="0"/>
    </xf>
    <xf borderId="2" fillId="3" fontId="6" numFmtId="1" xfId="0" applyAlignment="1" applyBorder="1" applyFill="1" applyFont="1" applyNumberFormat="1">
      <alignment shrinkToFit="0" vertical="bottom" wrapText="0"/>
    </xf>
    <xf borderId="3" fillId="0" fontId="3" numFmtId="0" xfId="0" applyAlignment="1" applyBorder="1" applyFont="1">
      <alignment shrinkToFit="0" vertical="bottom" wrapText="0"/>
    </xf>
    <xf borderId="3" fillId="0" fontId="3" numFmtId="0" xfId="0" applyAlignment="1" applyBorder="1" applyFont="1">
      <alignment shrinkToFit="0" vertical="top" wrapText="0"/>
    </xf>
    <xf borderId="2" fillId="4" fontId="7" numFmtId="1" xfId="0" applyAlignment="1" applyBorder="1" applyFill="1" applyFont="1" applyNumberFormat="1">
      <alignment shrinkToFit="0" vertical="top" wrapText="0"/>
    </xf>
    <xf borderId="0" fillId="0" fontId="8" numFmtId="0" xfId="0" applyAlignment="1" applyFont="1">
      <alignment readingOrder="0" shrinkToFit="0" vertical="top" wrapText="1"/>
    </xf>
    <xf borderId="3" fillId="0" fontId="5" numFmtId="0" xfId="0" applyAlignment="1" applyBorder="1" applyFont="1">
      <alignment shrinkToFit="0" vertical="bottom" wrapText="0"/>
    </xf>
    <xf borderId="0" fillId="0" fontId="6" numFmtId="0" xfId="0" applyAlignment="1" applyFont="1">
      <alignment shrinkToFit="0" vertical="top" wrapText="0"/>
    </xf>
    <xf borderId="3" fillId="0" fontId="3" numFmtId="0" xfId="0" applyAlignment="1" applyBorder="1" applyFont="1">
      <alignment shrinkToFit="0" vertical="top" wrapText="1"/>
    </xf>
    <xf borderId="3" fillId="0" fontId="2" numFmtId="0" xfId="0" applyAlignment="1" applyBorder="1" applyFont="1">
      <alignment shrinkToFit="0" vertical="top" wrapText="1"/>
    </xf>
    <xf borderId="3" fillId="0" fontId="3" numFmtId="1" xfId="0" applyAlignment="1" applyBorder="1" applyFont="1" applyNumberFormat="1">
      <alignment horizontal="center" shrinkToFit="0" vertical="bottom" wrapText="0"/>
    </xf>
    <xf borderId="3" fillId="0" fontId="3" numFmtId="164" xfId="0" applyAlignment="1" applyBorder="1" applyFont="1" applyNumberFormat="1">
      <alignment shrinkToFit="0" vertical="bottom" wrapText="0"/>
    </xf>
    <xf borderId="0" fillId="0" fontId="6" numFmtId="0" xfId="0" applyAlignment="1" applyFont="1">
      <alignment shrinkToFit="0" vertical="top" wrapText="1"/>
    </xf>
    <xf borderId="2" fillId="4" fontId="7" numFmtId="9" xfId="0" applyAlignment="1" applyBorder="1" applyFill="1" applyFont="1" applyNumberFormat="1">
      <alignment shrinkToFit="0" vertical="top" wrapText="0"/>
    </xf>
    <xf borderId="2" fillId="4" fontId="7" numFmtId="165" xfId="0" applyAlignment="1" applyBorder="1" applyFill="1" applyFont="1" applyNumberFormat="1">
      <alignment shrinkToFit="0" vertical="top" wrapText="0"/>
    </xf>
    <xf borderId="2" fillId="4" fontId="7" numFmtId="2" xfId="0" applyAlignment="1" applyBorder="1" applyFill="1" applyFont="1" applyNumberFormat="1">
      <alignment shrinkToFit="0" vertical="top" wrapText="0"/>
    </xf>
    <xf borderId="2" fillId="4" fontId="7" numFmtId="164" xfId="0" applyAlignment="1" applyBorder="1" applyFill="1" applyFont="1" applyNumberFormat="1">
      <alignment shrinkToFit="0" vertical="top" wrapText="0"/>
    </xf>
    <xf borderId="2" fillId="4" fontId="7" numFmtId="166" xfId="0" applyAlignment="1" applyBorder="1" applyFill="1" applyFont="1" applyNumberFormat="1">
      <alignment shrinkToFit="0" vertical="top" wrapText="0"/>
    </xf>
    <xf borderId="3" fillId="0" fontId="2" numFmtId="0" xfId="0" applyAlignment="1" applyBorder="1" applyFont="1">
      <alignment shrinkToFit="0" vertical="top" wrapText="0"/>
    </xf>
    <xf borderId="3" fillId="0" fontId="9" numFmtId="0" xfId="0" applyAlignment="1" applyBorder="1" applyFont="1">
      <alignment shrinkToFit="0" vertical="bottom" wrapText="0"/>
    </xf>
    <xf borderId="3" fillId="0" fontId="3" numFmtId="1" xfId="0" applyAlignment="1" applyBorder="1" applyFont="1" applyNumberFormat="1">
      <alignment shrinkToFit="0" vertical="top" wrapText="0"/>
    </xf>
    <xf borderId="3" fillId="0" fontId="2" numFmtId="0" xfId="0" applyAlignment="1" applyBorder="1" applyFont="1">
      <alignment shrinkToFit="0" vertical="bottom" wrapText="0"/>
    </xf>
    <xf borderId="2" fillId="4" fontId="7" numFmtId="3" xfId="0" applyAlignment="1" applyBorder="1" applyFill="1" applyFont="1" applyNumberFormat="1">
      <alignment shrinkToFit="0" vertical="top" wrapText="0"/>
    </xf>
    <xf borderId="3" fillId="0" fontId="3" numFmtId="166" xfId="0" applyAlignment="1" applyBorder="1" applyFont="1" applyNumberFormat="1">
      <alignment shrinkToFit="0" vertical="bottom" wrapText="0"/>
    </xf>
    <xf borderId="3" fillId="0" fontId="6" numFmtId="164" xfId="0" applyAlignment="1" applyBorder="1" applyFont="1" applyNumberFormat="1">
      <alignment horizontal="center" shrinkToFit="0" vertical="bottom" wrapText="0"/>
    </xf>
    <xf borderId="3" fillId="0" fontId="3" numFmtId="3" xfId="0" applyAlignment="1" applyBorder="1" applyFont="1" applyNumberFormat="1">
      <alignment shrinkToFit="0" vertical="bottom" wrapText="0"/>
    </xf>
    <xf borderId="3" fillId="0" fontId="3" numFmtId="9" xfId="0" applyAlignment="1" applyBorder="1" applyFont="1" applyNumberFormat="1">
      <alignment shrinkToFit="0" vertical="bottom" wrapText="0"/>
    </xf>
    <xf borderId="3" fillId="0" fontId="3" numFmtId="165" xfId="0" applyAlignment="1" applyBorder="1" applyFont="1" applyNumberFormat="1">
      <alignment shrinkToFit="0" vertical="bottom" wrapText="0"/>
    </xf>
    <xf borderId="3" fillId="0" fontId="3" numFmtId="2" xfId="0" applyAlignment="1" applyBorder="1" applyFont="1" applyNumberFormat="1">
      <alignment shrinkToFit="0" vertical="bottom" wrapText="0"/>
    </xf>
    <xf borderId="3" fillId="0" fontId="3" numFmtId="9" xfId="0" applyAlignment="1" applyBorder="1" applyFont="1" applyNumberFormat="1">
      <alignment horizontal="center" shrinkToFit="0" vertical="bottom" wrapText="0"/>
    </xf>
    <xf borderId="3" fillId="0" fontId="6" numFmtId="0" xfId="0" applyAlignment="1" applyBorder="1" applyFont="1">
      <alignment shrinkToFit="0" vertical="bottom" wrapText="0"/>
    </xf>
    <xf borderId="3" fillId="0" fontId="6" numFmtId="167" xfId="0" applyAlignment="1" applyBorder="1" applyFont="1" applyNumberFormat="1">
      <alignment shrinkToFit="0" vertical="bottom" wrapText="0"/>
    </xf>
    <xf borderId="3" fillId="0" fontId="3" numFmtId="167" xfId="0" applyAlignment="1" applyBorder="1" applyFont="1" applyNumberFormat="1">
      <alignment shrinkToFit="0" vertical="bottom" wrapText="0"/>
    </xf>
    <xf borderId="3" fillId="0" fontId="10" numFmtId="0" xfId="0" applyAlignment="1" applyBorder="1" applyFont="1">
      <alignment shrinkToFit="0" vertical="bottom" wrapText="0"/>
    </xf>
    <xf borderId="3" fillId="0" fontId="10" numFmtId="1"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Veritas-Research/investment-research/tree/ma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0"/>
    <col customWidth="1" min="2" max="2" width="110.0"/>
    <col customWidth="1" min="3" max="26" width="8.71"/>
  </cols>
  <sheetData>
    <row r="1">
      <c r="A1" s="1" t="s">
        <v>0</v>
      </c>
    </row>
    <row r="2" ht="15.75" customHeight="1">
      <c r="A2" s="3" t="s">
        <v>5</v>
      </c>
      <c r="B2" s="15" t="s">
        <v>9</v>
      </c>
    </row>
    <row r="4">
      <c r="A4" s="6" t="s">
        <v>25</v>
      </c>
      <c r="B4" s="8"/>
    </row>
    <row r="5" ht="15.75" customHeight="1">
      <c r="A5" s="3"/>
      <c r="B5" s="4" t="s">
        <v>27</v>
      </c>
    </row>
    <row r="6" ht="15.75" customHeight="1">
      <c r="A6" s="3"/>
      <c r="B6" s="4" t="s">
        <v>28</v>
      </c>
    </row>
    <row r="7" ht="30.0" customHeight="1">
      <c r="A7" s="3"/>
      <c r="B7" s="4" t="s">
        <v>29</v>
      </c>
    </row>
    <row r="8" ht="15.75" customHeight="1">
      <c r="A8" s="3"/>
      <c r="B8" s="4" t="s">
        <v>30</v>
      </c>
    </row>
    <row r="9" ht="30.0" customHeight="1">
      <c r="A9" s="3"/>
      <c r="B9" s="4" t="s">
        <v>31</v>
      </c>
    </row>
    <row r="10" ht="15.75" customHeight="1">
      <c r="A10" s="3"/>
      <c r="B10" s="4" t="s">
        <v>32</v>
      </c>
    </row>
    <row r="12">
      <c r="A12" s="6" t="s">
        <v>33</v>
      </c>
      <c r="B12" s="8"/>
    </row>
    <row r="13" ht="15.75" customHeight="1">
      <c r="A13" s="3"/>
      <c r="B13" s="4" t="s">
        <v>34</v>
      </c>
    </row>
    <row r="14" ht="30.0" customHeight="1">
      <c r="A14" s="3"/>
      <c r="B14" s="4" t="s">
        <v>35</v>
      </c>
    </row>
    <row r="15" ht="15.75" customHeight="1">
      <c r="A15" s="3"/>
      <c r="B15" s="4" t="s">
        <v>36</v>
      </c>
    </row>
    <row r="16" ht="15.75" customHeight="1">
      <c r="A16" s="3"/>
      <c r="B16" s="4" t="s">
        <v>37</v>
      </c>
    </row>
    <row r="18">
      <c r="A18" s="6" t="s">
        <v>38</v>
      </c>
      <c r="B18" s="8"/>
    </row>
    <row r="19" ht="15.75" customHeight="1">
      <c r="A19" s="17" t="s">
        <v>39</v>
      </c>
      <c r="B19" s="4" t="s">
        <v>41</v>
      </c>
    </row>
    <row r="20" ht="15.75" customHeight="1">
      <c r="A20" s="17" t="s">
        <v>42</v>
      </c>
      <c r="B20" s="4" t="s">
        <v>43</v>
      </c>
    </row>
    <row r="21" ht="30.0" customHeight="1">
      <c r="A21" s="17" t="s">
        <v>45</v>
      </c>
      <c r="B21" s="4" t="s">
        <v>47</v>
      </c>
    </row>
    <row r="22" ht="15.75" customHeight="1">
      <c r="A22" s="17" t="s">
        <v>49</v>
      </c>
      <c r="B22" s="4" t="s">
        <v>50</v>
      </c>
    </row>
    <row r="23" ht="15.75" customHeight="1">
      <c r="A23" s="17" t="s">
        <v>51</v>
      </c>
      <c r="B23" s="4" t="s">
        <v>53</v>
      </c>
    </row>
    <row r="24" ht="15.75" customHeight="1">
      <c r="A24" s="17" t="s">
        <v>55</v>
      </c>
      <c r="B24" s="4" t="s">
        <v>56</v>
      </c>
    </row>
    <row r="25" ht="15.75" customHeight="1"/>
    <row r="26" ht="15.75" customHeight="1">
      <c r="A26" s="6" t="s">
        <v>58</v>
      </c>
      <c r="B26" s="8"/>
    </row>
    <row r="27" ht="15.75" customHeight="1">
      <c r="A27" s="17" t="s">
        <v>60</v>
      </c>
      <c r="B27" s="4" t="s">
        <v>62</v>
      </c>
    </row>
    <row r="28" ht="15.75" customHeight="1">
      <c r="A28" s="17" t="s">
        <v>63</v>
      </c>
      <c r="B28" s="4" t="s">
        <v>65</v>
      </c>
    </row>
    <row r="29" ht="15.75" customHeight="1">
      <c r="A29" s="17" t="s">
        <v>66</v>
      </c>
      <c r="B29" s="4" t="s">
        <v>68</v>
      </c>
    </row>
    <row r="30" ht="15.75" customHeight="1">
      <c r="A30" s="17" t="s">
        <v>69</v>
      </c>
      <c r="B30" s="4" t="s">
        <v>71</v>
      </c>
    </row>
    <row r="31" ht="15.75" customHeight="1">
      <c r="A31" s="17" t="s">
        <v>46</v>
      </c>
      <c r="B31" s="4" t="s">
        <v>73</v>
      </c>
    </row>
    <row r="32" ht="15.75" customHeight="1"/>
    <row r="33" ht="15.75" customHeight="1">
      <c r="A33" s="6" t="s">
        <v>75</v>
      </c>
      <c r="B33" s="8"/>
    </row>
    <row r="34" ht="30.0" customHeight="1">
      <c r="A34" s="3"/>
      <c r="B34" s="4" t="s">
        <v>77</v>
      </c>
    </row>
    <row r="35" ht="30.0" customHeight="1">
      <c r="A35" s="3"/>
      <c r="B35" s="4" t="s">
        <v>80</v>
      </c>
    </row>
    <row r="36" ht="30.0" customHeight="1">
      <c r="A36" s="3"/>
      <c r="B36" s="4" t="s">
        <v>81</v>
      </c>
    </row>
    <row r="37" ht="15.75" customHeight="1">
      <c r="A37" s="3"/>
      <c r="B37" s="4" t="s">
        <v>83</v>
      </c>
    </row>
    <row r="38" ht="15.75" customHeight="1">
      <c r="A38" s="3"/>
      <c r="B38" s="4" t="s">
        <v>84</v>
      </c>
    </row>
    <row r="39" ht="15.75" customHeight="1">
      <c r="A39" s="3"/>
      <c r="B39" s="4" t="s">
        <v>85</v>
      </c>
    </row>
    <row r="40" ht="15.75" customHeight="1"/>
    <row r="41" ht="15.75" customHeight="1">
      <c r="A41" s="17" t="s">
        <v>87</v>
      </c>
      <c r="B41" s="22" t="s">
        <v>88</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printOptions/>
  <pageMargins bottom="1.0" footer="0.0" header="0.0" left="0.75" right="0.75" top="1.0"/>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54.0"/>
    <col customWidth="1" min="2" max="4" width="12.0"/>
    <col customWidth="1" min="5" max="5" width="30.0"/>
    <col customWidth="1" min="6" max="6" width="92.0"/>
    <col customWidth="1" min="7" max="7" width="13.0"/>
    <col customWidth="1" min="8" max="26" width="8.71"/>
  </cols>
  <sheetData>
    <row r="1">
      <c r="A1" s="1" t="s">
        <v>1</v>
      </c>
    </row>
    <row r="2" ht="27.75" customHeight="1">
      <c r="A2" s="4" t="s">
        <v>6</v>
      </c>
    </row>
    <row r="3" ht="27.75" customHeight="1">
      <c r="A3" s="7" t="s">
        <v>10</v>
      </c>
    </row>
    <row r="5">
      <c r="A5" s="9" t="s">
        <v>12</v>
      </c>
      <c r="B5" s="9" t="s">
        <v>14</v>
      </c>
      <c r="C5" s="9"/>
      <c r="D5" s="9"/>
      <c r="E5" s="9" t="s">
        <v>17</v>
      </c>
      <c r="F5" s="9" t="s">
        <v>19</v>
      </c>
      <c r="G5" s="9" t="s">
        <v>20</v>
      </c>
    </row>
    <row r="6">
      <c r="A6" s="6" t="s">
        <v>22</v>
      </c>
      <c r="B6" s="8"/>
      <c r="C6" s="8"/>
      <c r="D6" s="8"/>
      <c r="E6" s="8"/>
      <c r="F6" s="8"/>
      <c r="G6" s="8"/>
    </row>
    <row r="7" ht="15.0" customHeight="1">
      <c r="A7" s="13" t="s">
        <v>23</v>
      </c>
      <c r="B7" s="14">
        <v>2.0</v>
      </c>
      <c r="C7" s="16"/>
      <c r="D7" s="16"/>
      <c r="E7" s="18" t="s">
        <v>40</v>
      </c>
      <c r="F7" s="19" t="s">
        <v>44</v>
      </c>
      <c r="G7" s="13" t="s">
        <v>46</v>
      </c>
    </row>
    <row r="8" ht="28.5" customHeight="1">
      <c r="A8" s="13" t="s">
        <v>48</v>
      </c>
      <c r="B8" s="14">
        <v>2.0</v>
      </c>
      <c r="C8" s="16"/>
      <c r="D8" s="16"/>
      <c r="E8" s="18" t="s">
        <v>52</v>
      </c>
      <c r="F8" s="19" t="s">
        <v>54</v>
      </c>
      <c r="G8" s="13" t="s">
        <v>46</v>
      </c>
    </row>
    <row r="9" ht="15.0" customHeight="1">
      <c r="A9" s="13" t="s">
        <v>57</v>
      </c>
      <c r="B9" s="14">
        <v>0.0</v>
      </c>
      <c r="C9" s="16"/>
      <c r="D9" s="16"/>
      <c r="E9" s="18" t="s">
        <v>59</v>
      </c>
      <c r="F9" s="19" t="s">
        <v>61</v>
      </c>
      <c r="G9" s="13" t="s">
        <v>46</v>
      </c>
    </row>
    <row r="10" ht="42.0" customHeight="1">
      <c r="A10" s="13" t="s">
        <v>64</v>
      </c>
      <c r="B10" s="14">
        <v>1.0</v>
      </c>
      <c r="C10" s="16"/>
      <c r="D10" s="16"/>
      <c r="E10" s="18" t="s">
        <v>67</v>
      </c>
      <c r="F10" s="19" t="s">
        <v>70</v>
      </c>
      <c r="G10" s="13" t="s">
        <v>46</v>
      </c>
    </row>
    <row r="11" ht="15.0" customHeight="1">
      <c r="A11" s="13" t="s">
        <v>72</v>
      </c>
      <c r="B11" s="14">
        <v>1.0</v>
      </c>
      <c r="C11" s="16"/>
      <c r="D11" s="16"/>
      <c r="E11" s="18" t="s">
        <v>67</v>
      </c>
      <c r="F11" s="19" t="s">
        <v>74</v>
      </c>
      <c r="G11" s="13" t="s">
        <v>46</v>
      </c>
    </row>
    <row r="12" ht="28.5" customHeight="1">
      <c r="A12" s="13" t="s">
        <v>76</v>
      </c>
      <c r="B12" s="14">
        <v>1.0</v>
      </c>
      <c r="C12" s="16"/>
      <c r="D12" s="16"/>
      <c r="E12" s="18" t="s">
        <v>78</v>
      </c>
      <c r="F12" s="19" t="s">
        <v>79</v>
      </c>
      <c r="G12" s="13" t="s">
        <v>46</v>
      </c>
    </row>
    <row r="14">
      <c r="A14" s="6" t="s">
        <v>82</v>
      </c>
      <c r="B14" s="8"/>
      <c r="C14" s="8"/>
      <c r="D14" s="8"/>
      <c r="E14" s="8"/>
      <c r="F14" s="8"/>
      <c r="G14" s="8"/>
    </row>
    <row r="15" ht="55.5" customHeight="1">
      <c r="A15" s="13" t="s">
        <v>86</v>
      </c>
      <c r="B15" s="14">
        <v>250.0</v>
      </c>
      <c r="C15" s="16"/>
      <c r="D15" s="16"/>
      <c r="E15" s="18" t="s">
        <v>89</v>
      </c>
      <c r="F15" s="19" t="s">
        <v>91</v>
      </c>
      <c r="G15" s="13" t="s">
        <v>69</v>
      </c>
    </row>
    <row r="16" ht="28.5" customHeight="1">
      <c r="A16" s="13" t="s">
        <v>92</v>
      </c>
      <c r="B16" s="23">
        <v>0.75</v>
      </c>
      <c r="C16" s="16"/>
      <c r="D16" s="16"/>
      <c r="E16" s="18" t="s">
        <v>93</v>
      </c>
      <c r="F16" s="19" t="s">
        <v>94</v>
      </c>
      <c r="G16" s="13" t="s">
        <v>69</v>
      </c>
    </row>
    <row r="18">
      <c r="A18" s="6" t="s">
        <v>95</v>
      </c>
      <c r="B18" s="8"/>
      <c r="C18" s="8"/>
      <c r="D18" s="8"/>
      <c r="E18" s="8"/>
      <c r="F18" s="8"/>
      <c r="G18" s="8"/>
    </row>
    <row r="19" ht="42.0" customHeight="1">
      <c r="A19" s="13" t="s">
        <v>96</v>
      </c>
      <c r="B19" s="24">
        <v>15.0</v>
      </c>
      <c r="C19" s="16"/>
      <c r="D19" s="16"/>
      <c r="E19" s="18" t="s">
        <v>97</v>
      </c>
      <c r="F19" s="19" t="s">
        <v>98</v>
      </c>
      <c r="G19" s="13" t="s">
        <v>69</v>
      </c>
    </row>
    <row r="20" ht="42.0" customHeight="1">
      <c r="A20" s="13" t="s">
        <v>99</v>
      </c>
      <c r="B20" s="25">
        <v>0.8</v>
      </c>
      <c r="C20" s="16"/>
      <c r="D20" s="16"/>
      <c r="E20" s="18" t="s">
        <v>100</v>
      </c>
      <c r="F20" s="19" t="s">
        <v>101</v>
      </c>
      <c r="G20" s="13" t="s">
        <v>69</v>
      </c>
    </row>
    <row r="21" ht="15.75" customHeight="1"/>
    <row r="22" ht="15.75" customHeight="1">
      <c r="A22" s="6" t="s">
        <v>102</v>
      </c>
      <c r="B22" s="8"/>
      <c r="C22" s="8"/>
      <c r="D22" s="8"/>
      <c r="E22" s="8"/>
      <c r="F22" s="8"/>
      <c r="G22" s="8"/>
    </row>
    <row r="23" ht="15.0" customHeight="1">
      <c r="A23" s="13" t="s">
        <v>104</v>
      </c>
      <c r="B23" s="26">
        <v>0.5</v>
      </c>
      <c r="C23" s="16"/>
      <c r="D23" s="16"/>
      <c r="E23" s="18" t="s">
        <v>93</v>
      </c>
      <c r="F23" s="19" t="s">
        <v>105</v>
      </c>
      <c r="G23" s="13" t="s">
        <v>69</v>
      </c>
    </row>
    <row r="24" ht="15.0" customHeight="1">
      <c r="A24" s="13" t="s">
        <v>106</v>
      </c>
      <c r="B24" s="26">
        <v>0.025</v>
      </c>
      <c r="C24" s="16"/>
      <c r="D24" s="16"/>
      <c r="E24" s="18" t="s">
        <v>107</v>
      </c>
      <c r="F24" s="19" t="s">
        <v>108</v>
      </c>
      <c r="G24" s="13" t="s">
        <v>69</v>
      </c>
    </row>
    <row r="25" ht="15.0" customHeight="1">
      <c r="A25" s="13" t="s">
        <v>109</v>
      </c>
      <c r="B25" s="23">
        <v>0.7</v>
      </c>
      <c r="C25" s="16"/>
      <c r="D25" s="16"/>
      <c r="E25" s="18" t="s">
        <v>93</v>
      </c>
      <c r="F25" s="19" t="s">
        <v>110</v>
      </c>
      <c r="G25" s="13" t="s">
        <v>69</v>
      </c>
    </row>
    <row r="26" ht="28.5" customHeight="1">
      <c r="A26" s="13" t="s">
        <v>111</v>
      </c>
      <c r="B26" s="23">
        <v>0.6</v>
      </c>
      <c r="C26" s="16"/>
      <c r="D26" s="16"/>
      <c r="E26" s="18" t="s">
        <v>93</v>
      </c>
      <c r="F26" s="19" t="s">
        <v>112</v>
      </c>
      <c r="G26" s="13" t="s">
        <v>69</v>
      </c>
    </row>
    <row r="27" ht="28.5" customHeight="1">
      <c r="A27" s="13" t="s">
        <v>113</v>
      </c>
      <c r="B27" s="23">
        <v>0.4</v>
      </c>
      <c r="C27" s="16"/>
      <c r="D27" s="16"/>
      <c r="E27" s="18" t="s">
        <v>93</v>
      </c>
      <c r="F27" s="19" t="s">
        <v>114</v>
      </c>
      <c r="G27" s="13" t="s">
        <v>69</v>
      </c>
    </row>
    <row r="28" ht="28.5" customHeight="1">
      <c r="A28" s="13" t="s">
        <v>115</v>
      </c>
      <c r="B28" s="26">
        <v>0.03</v>
      </c>
      <c r="C28" s="16"/>
      <c r="D28" s="16"/>
      <c r="E28" s="18" t="s">
        <v>107</v>
      </c>
      <c r="F28" s="19" t="s">
        <v>110</v>
      </c>
      <c r="G28" s="13" t="s">
        <v>69</v>
      </c>
    </row>
    <row r="29" ht="15.0" customHeight="1">
      <c r="A29" s="13" t="s">
        <v>116</v>
      </c>
      <c r="B29" s="23">
        <v>0.6</v>
      </c>
      <c r="C29" s="16"/>
      <c r="D29" s="16"/>
      <c r="E29" s="18" t="s">
        <v>93</v>
      </c>
      <c r="F29" s="19" t="s">
        <v>117</v>
      </c>
      <c r="G29" s="13" t="s">
        <v>69</v>
      </c>
    </row>
    <row r="30" ht="28.5" customHeight="1">
      <c r="A30" s="13" t="s">
        <v>118</v>
      </c>
      <c r="B30" s="25">
        <v>1.2</v>
      </c>
      <c r="C30" s="16"/>
      <c r="D30" s="16"/>
      <c r="E30" s="18" t="s">
        <v>119</v>
      </c>
      <c r="F30" s="19" t="s">
        <v>120</v>
      </c>
      <c r="G30" s="13" t="s">
        <v>69</v>
      </c>
    </row>
    <row r="31" ht="15.0" customHeight="1">
      <c r="A31" s="13" t="s">
        <v>121</v>
      </c>
      <c r="B31" s="23">
        <v>0.05</v>
      </c>
      <c r="C31" s="16"/>
      <c r="D31" s="16"/>
      <c r="E31" s="18" t="s">
        <v>122</v>
      </c>
      <c r="F31" s="19" t="s">
        <v>123</v>
      </c>
      <c r="G31" s="13" t="s">
        <v>69</v>
      </c>
    </row>
    <row r="32" ht="15.75" customHeight="1"/>
    <row r="33" ht="15.75" customHeight="1">
      <c r="A33" s="6" t="s">
        <v>124</v>
      </c>
      <c r="B33" s="8"/>
      <c r="C33" s="8"/>
      <c r="D33" s="8"/>
      <c r="E33" s="8"/>
      <c r="F33" s="8"/>
      <c r="G33" s="8"/>
    </row>
    <row r="34" ht="15.0" customHeight="1">
      <c r="A34" s="13" t="s">
        <v>126</v>
      </c>
      <c r="B34" s="23">
        <v>0.35</v>
      </c>
      <c r="C34" s="16"/>
      <c r="D34" s="16"/>
      <c r="E34" s="18" t="s">
        <v>127</v>
      </c>
      <c r="F34" s="19" t="s">
        <v>128</v>
      </c>
      <c r="G34" s="13" t="s">
        <v>69</v>
      </c>
    </row>
    <row r="35" ht="15.0" customHeight="1">
      <c r="A35" s="13" t="s">
        <v>129</v>
      </c>
      <c r="B35" s="23">
        <v>0.05</v>
      </c>
      <c r="C35" s="16"/>
      <c r="D35" s="16"/>
      <c r="E35" s="18" t="s">
        <v>107</v>
      </c>
      <c r="F35" s="19" t="s">
        <v>110</v>
      </c>
      <c r="G35" s="13" t="s">
        <v>69</v>
      </c>
    </row>
    <row r="36" ht="15.0" customHeight="1">
      <c r="A36" s="13" t="s">
        <v>130</v>
      </c>
      <c r="B36" s="23">
        <v>0.75</v>
      </c>
      <c r="C36" s="16"/>
      <c r="D36" s="16"/>
      <c r="E36" s="18" t="s">
        <v>93</v>
      </c>
      <c r="F36" s="19" t="s">
        <v>110</v>
      </c>
      <c r="G36" s="13" t="s">
        <v>69</v>
      </c>
    </row>
    <row r="37" ht="15.0" customHeight="1">
      <c r="A37" s="13" t="s">
        <v>131</v>
      </c>
      <c r="B37" s="23">
        <v>0.1</v>
      </c>
      <c r="C37" s="16"/>
      <c r="D37" s="16"/>
      <c r="E37" s="18" t="s">
        <v>127</v>
      </c>
      <c r="F37" s="19" t="s">
        <v>132</v>
      </c>
      <c r="G37" s="13" t="s">
        <v>69</v>
      </c>
    </row>
    <row r="38" ht="15.0" customHeight="1">
      <c r="A38" s="13" t="s">
        <v>133</v>
      </c>
      <c r="B38" s="25">
        <v>0.1</v>
      </c>
      <c r="C38" s="16"/>
      <c r="D38" s="16"/>
      <c r="E38" s="18" t="s">
        <v>134</v>
      </c>
      <c r="F38" s="19" t="s">
        <v>135</v>
      </c>
      <c r="G38" s="13" t="s">
        <v>69</v>
      </c>
    </row>
    <row r="39" ht="28.5" customHeight="1">
      <c r="A39" s="13" t="s">
        <v>136</v>
      </c>
      <c r="B39" s="27">
        <v>0.02</v>
      </c>
      <c r="C39" s="16"/>
      <c r="D39" s="16"/>
      <c r="E39" s="18" t="s">
        <v>134</v>
      </c>
      <c r="F39" s="19" t="s">
        <v>137</v>
      </c>
      <c r="G39" s="13" t="s">
        <v>69</v>
      </c>
    </row>
    <row r="40" ht="15.75" customHeight="1"/>
    <row r="41" ht="15.75" customHeight="1">
      <c r="A41" s="6" t="s">
        <v>138</v>
      </c>
      <c r="B41" s="8"/>
      <c r="C41" s="8"/>
      <c r="D41" s="8"/>
      <c r="E41" s="8"/>
      <c r="F41" s="8"/>
      <c r="G41" s="8"/>
    </row>
    <row r="42" ht="28.5" customHeight="1">
      <c r="A42" s="13" t="s">
        <v>139</v>
      </c>
      <c r="B42" s="23">
        <v>0.85</v>
      </c>
      <c r="C42" s="16"/>
      <c r="D42" s="16"/>
      <c r="E42" s="18" t="s">
        <v>140</v>
      </c>
      <c r="F42" s="19" t="s">
        <v>141</v>
      </c>
      <c r="G42" s="13" t="s">
        <v>69</v>
      </c>
    </row>
    <row r="43" ht="15.75" customHeight="1"/>
    <row r="44" ht="15.75" customHeight="1">
      <c r="A44" s="6" t="s">
        <v>142</v>
      </c>
      <c r="B44" s="8"/>
      <c r="C44" s="8"/>
      <c r="D44" s="8"/>
      <c r="E44" s="8"/>
      <c r="F44" s="8"/>
      <c r="G44" s="8"/>
    </row>
    <row r="45" ht="28.5" customHeight="1">
      <c r="A45" s="13" t="s">
        <v>143</v>
      </c>
      <c r="B45" s="25">
        <v>1.0</v>
      </c>
      <c r="C45" s="16"/>
      <c r="D45" s="16"/>
      <c r="E45" s="18" t="s">
        <v>144</v>
      </c>
      <c r="F45" s="19" t="s">
        <v>145</v>
      </c>
      <c r="G45" s="13" t="s">
        <v>69</v>
      </c>
    </row>
    <row r="46" ht="15.0" customHeight="1">
      <c r="A46" s="13" t="s">
        <v>147</v>
      </c>
      <c r="B46" s="23">
        <v>0.0</v>
      </c>
      <c r="C46" s="16"/>
      <c r="D46" s="16"/>
      <c r="E46" s="18" t="s">
        <v>148</v>
      </c>
      <c r="F46" s="19" t="s">
        <v>149</v>
      </c>
      <c r="G46" s="13" t="s">
        <v>69</v>
      </c>
    </row>
    <row r="47" ht="28.5" customHeight="1">
      <c r="A47" s="13" t="s">
        <v>150</v>
      </c>
      <c r="B47" s="23">
        <v>0.25</v>
      </c>
      <c r="C47" s="16"/>
      <c r="D47" s="16"/>
      <c r="E47" s="18" t="s">
        <v>93</v>
      </c>
      <c r="F47" s="19" t="s">
        <v>151</v>
      </c>
      <c r="G47" s="13" t="s">
        <v>69</v>
      </c>
    </row>
    <row r="48" ht="15.75" customHeight="1"/>
    <row r="49" ht="15.75" customHeight="1">
      <c r="A49" s="6" t="s">
        <v>152</v>
      </c>
      <c r="B49" s="8"/>
      <c r="C49" s="8"/>
      <c r="D49" s="8"/>
      <c r="E49" s="8"/>
      <c r="F49" s="8"/>
      <c r="G49" s="8"/>
    </row>
    <row r="50" ht="15.75" customHeight="1">
      <c r="A50" s="9" t="s">
        <v>153</v>
      </c>
      <c r="B50" s="9" t="s">
        <v>154</v>
      </c>
      <c r="C50" s="9" t="s">
        <v>155</v>
      </c>
      <c r="D50" s="9" t="s">
        <v>156</v>
      </c>
      <c r="E50" s="9" t="s">
        <v>17</v>
      </c>
      <c r="F50" s="9" t="s">
        <v>157</v>
      </c>
      <c r="G50" s="9" t="s">
        <v>20</v>
      </c>
    </row>
    <row r="51" ht="55.5" customHeight="1">
      <c r="A51" s="13" t="s">
        <v>158</v>
      </c>
      <c r="B51" s="24">
        <v>6.0</v>
      </c>
      <c r="C51" s="24">
        <v>12.0</v>
      </c>
      <c r="D51" s="24">
        <v>20.0</v>
      </c>
      <c r="E51" s="13" t="s">
        <v>159</v>
      </c>
      <c r="F51" s="19" t="s">
        <v>160</v>
      </c>
      <c r="G51" s="13" t="s">
        <v>69</v>
      </c>
    </row>
    <row r="52" ht="15.0" customHeight="1">
      <c r="A52" s="13" t="s">
        <v>161</v>
      </c>
      <c r="B52" s="23">
        <v>0.05</v>
      </c>
      <c r="C52" s="23">
        <v>0.22</v>
      </c>
      <c r="D52" s="23">
        <v>0.4</v>
      </c>
      <c r="E52" s="13" t="s">
        <v>122</v>
      </c>
      <c r="F52" s="19" t="s">
        <v>162</v>
      </c>
      <c r="G52" s="13" t="s">
        <v>69</v>
      </c>
    </row>
    <row r="53" ht="55.5" customHeight="1">
      <c r="A53" s="13" t="s">
        <v>163</v>
      </c>
      <c r="B53" s="25">
        <v>1.45</v>
      </c>
      <c r="C53" s="25">
        <v>2.04</v>
      </c>
      <c r="D53" s="25">
        <v>3.3</v>
      </c>
      <c r="E53" s="13" t="s">
        <v>164</v>
      </c>
      <c r="F53" s="19" t="s">
        <v>165</v>
      </c>
      <c r="G53" s="13" t="s">
        <v>69</v>
      </c>
    </row>
    <row r="54" ht="28.5" customHeight="1">
      <c r="A54" s="13" t="s">
        <v>166</v>
      </c>
      <c r="B54" s="25">
        <v>1.0</v>
      </c>
      <c r="C54" s="25">
        <v>0.85</v>
      </c>
      <c r="D54" s="25">
        <v>0.85</v>
      </c>
      <c r="E54" s="13" t="s">
        <v>167</v>
      </c>
      <c r="F54" s="19" t="s">
        <v>168</v>
      </c>
      <c r="G54" s="13" t="s">
        <v>69</v>
      </c>
    </row>
    <row r="55" ht="15.0" customHeight="1">
      <c r="A55" s="13" t="s">
        <v>169</v>
      </c>
      <c r="B55" s="25">
        <v>1.45</v>
      </c>
      <c r="C55" s="25">
        <v>1.5</v>
      </c>
      <c r="D55" s="25">
        <v>2.0</v>
      </c>
      <c r="E55" s="13" t="s">
        <v>164</v>
      </c>
      <c r="F55" s="19" t="s">
        <v>170</v>
      </c>
      <c r="G55" s="13" t="s">
        <v>69</v>
      </c>
    </row>
    <row r="56" ht="15.75" customHeight="1"/>
    <row r="57" ht="15.75" customHeight="1">
      <c r="A57" s="6" t="s">
        <v>171</v>
      </c>
      <c r="B57" s="8"/>
      <c r="C57" s="8"/>
      <c r="D57" s="8"/>
      <c r="E57" s="8"/>
      <c r="F57" s="8"/>
      <c r="G57" s="8"/>
    </row>
    <row r="58" ht="27.75" customHeight="1">
      <c r="A58" s="7" t="s">
        <v>172</v>
      </c>
    </row>
    <row r="59" ht="15.75" customHeight="1">
      <c r="A59" s="9" t="s">
        <v>13</v>
      </c>
      <c r="B59" s="9" t="s">
        <v>173</v>
      </c>
      <c r="C59" s="9" t="s">
        <v>174</v>
      </c>
      <c r="D59" s="9" t="s">
        <v>175</v>
      </c>
      <c r="E59" s="9" t="s">
        <v>17</v>
      </c>
      <c r="F59" s="9" t="s">
        <v>157</v>
      </c>
      <c r="G59" s="9" t="s">
        <v>20</v>
      </c>
    </row>
    <row r="60" ht="15.0" customHeight="1">
      <c r="A60" s="13" t="s">
        <v>21</v>
      </c>
      <c r="B60" s="25">
        <v>0.7</v>
      </c>
      <c r="C60" s="25">
        <v>0.6</v>
      </c>
      <c r="D60" s="14">
        <v>1.0</v>
      </c>
      <c r="E60" s="28" t="s">
        <v>177</v>
      </c>
      <c r="F60" s="19" t="s">
        <v>178</v>
      </c>
      <c r="G60" s="13" t="s">
        <v>69</v>
      </c>
    </row>
    <row r="61" ht="15.0" customHeight="1">
      <c r="A61" s="13" t="s">
        <v>90</v>
      </c>
      <c r="B61" s="25">
        <v>1.0</v>
      </c>
      <c r="C61" s="25">
        <v>0.3</v>
      </c>
      <c r="D61" s="14">
        <v>1.0</v>
      </c>
      <c r="E61" s="28" t="s">
        <v>177</v>
      </c>
      <c r="F61" s="19" t="s">
        <v>179</v>
      </c>
      <c r="G61" s="13" t="s">
        <v>69</v>
      </c>
    </row>
    <row r="62" ht="15.0" customHeight="1">
      <c r="A62" s="13" t="s">
        <v>103</v>
      </c>
      <c r="B62" s="25">
        <v>1.7</v>
      </c>
      <c r="C62" s="25">
        <v>0.6</v>
      </c>
      <c r="D62" s="14">
        <v>1.0</v>
      </c>
      <c r="E62" s="28" t="s">
        <v>177</v>
      </c>
      <c r="F62" s="19" t="s">
        <v>180</v>
      </c>
      <c r="G62" s="13" t="s">
        <v>69</v>
      </c>
    </row>
    <row r="63" ht="28.5" customHeight="1">
      <c r="A63" s="13" t="s">
        <v>125</v>
      </c>
      <c r="B63" s="25">
        <v>3.0</v>
      </c>
      <c r="C63" s="25">
        <v>0.7</v>
      </c>
      <c r="D63" s="14">
        <v>1.0</v>
      </c>
      <c r="E63" s="28" t="s">
        <v>177</v>
      </c>
      <c r="F63" s="19" t="s">
        <v>181</v>
      </c>
      <c r="G63" s="13" t="s">
        <v>69</v>
      </c>
    </row>
    <row r="64" ht="15.0" customHeight="1">
      <c r="A64" s="13" t="s">
        <v>146</v>
      </c>
      <c r="B64" s="25">
        <v>4.0</v>
      </c>
      <c r="C64" s="25">
        <v>0.7</v>
      </c>
      <c r="D64" s="14">
        <v>1.0</v>
      </c>
      <c r="E64" s="28" t="s">
        <v>177</v>
      </c>
      <c r="F64" s="19" t="s">
        <v>182</v>
      </c>
      <c r="G64" s="13" t="s">
        <v>69</v>
      </c>
    </row>
    <row r="65" ht="15.0" customHeight="1">
      <c r="A65" s="13" t="s">
        <v>176</v>
      </c>
      <c r="B65" s="25">
        <v>6.0</v>
      </c>
      <c r="C65" s="25">
        <v>1.0</v>
      </c>
      <c r="D65" s="14">
        <v>1.0</v>
      </c>
      <c r="E65" s="28" t="s">
        <v>177</v>
      </c>
      <c r="F65" s="19" t="s">
        <v>183</v>
      </c>
      <c r="G65" s="13" t="s">
        <v>69</v>
      </c>
    </row>
    <row r="66" ht="15.0" customHeight="1">
      <c r="A66" s="13" t="s">
        <v>184</v>
      </c>
      <c r="B66" s="25">
        <v>3.0</v>
      </c>
      <c r="C66" s="25">
        <v>0.7</v>
      </c>
      <c r="D66" s="14">
        <v>3.0</v>
      </c>
      <c r="E66" s="28" t="s">
        <v>177</v>
      </c>
      <c r="F66" s="19" t="s">
        <v>185</v>
      </c>
      <c r="G66" s="13" t="s">
        <v>69</v>
      </c>
    </row>
    <row r="67" ht="28.5" customHeight="1">
      <c r="A67" s="13" t="s">
        <v>186</v>
      </c>
      <c r="B67" s="25">
        <v>-0.25</v>
      </c>
      <c r="C67" s="25">
        <v>3.0</v>
      </c>
      <c r="D67" s="14">
        <v>1.0</v>
      </c>
      <c r="E67" s="28" t="s">
        <v>177</v>
      </c>
      <c r="F67" s="19" t="s">
        <v>187</v>
      </c>
      <c r="G67" s="13" t="s">
        <v>69</v>
      </c>
    </row>
    <row r="68" ht="15.75" customHeight="1"/>
    <row r="69" ht="15.75" customHeight="1">
      <c r="A69" s="6" t="s">
        <v>188</v>
      </c>
      <c r="B69" s="8"/>
      <c r="C69" s="8"/>
      <c r="D69" s="8"/>
      <c r="E69" s="8"/>
      <c r="F69" s="8"/>
      <c r="G69" s="8"/>
    </row>
    <row r="70" ht="15.75" customHeight="1">
      <c r="A70" s="9" t="s">
        <v>189</v>
      </c>
      <c r="B70" s="9" t="s">
        <v>14</v>
      </c>
      <c r="C70" s="9"/>
      <c r="D70" s="9"/>
      <c r="E70" s="9" t="s">
        <v>17</v>
      </c>
      <c r="F70" s="9" t="s">
        <v>190</v>
      </c>
      <c r="G70" s="9" t="s">
        <v>20</v>
      </c>
    </row>
    <row r="71" ht="15.0" customHeight="1">
      <c r="A71" s="13" t="s">
        <v>191</v>
      </c>
      <c r="B71" s="14">
        <v>5.0</v>
      </c>
      <c r="C71" s="16"/>
      <c r="D71" s="16"/>
      <c r="E71" s="18" t="s">
        <v>192</v>
      </c>
      <c r="F71" s="19" t="s">
        <v>193</v>
      </c>
      <c r="G71" s="13" t="s">
        <v>69</v>
      </c>
    </row>
    <row r="72" ht="15.0" customHeight="1">
      <c r="A72" s="13" t="s">
        <v>194</v>
      </c>
      <c r="B72" s="14">
        <v>10.0</v>
      </c>
      <c r="C72" s="16"/>
      <c r="D72" s="16"/>
      <c r="E72" s="18" t="s">
        <v>192</v>
      </c>
      <c r="F72" s="19"/>
      <c r="G72" s="13" t="s">
        <v>69</v>
      </c>
    </row>
    <row r="73" ht="15.0" customHeight="1">
      <c r="A73" s="13" t="s">
        <v>195</v>
      </c>
      <c r="B73" s="14">
        <v>15.0</v>
      </c>
      <c r="C73" s="16"/>
      <c r="D73" s="16"/>
      <c r="E73" s="18" t="s">
        <v>192</v>
      </c>
      <c r="F73" s="19"/>
      <c r="G73" s="13" t="s">
        <v>69</v>
      </c>
    </row>
    <row r="74" ht="15.0" customHeight="1">
      <c r="A74" s="13" t="s">
        <v>197</v>
      </c>
      <c r="B74" s="14">
        <v>25.0</v>
      </c>
      <c r="C74" s="16"/>
      <c r="D74" s="16"/>
      <c r="E74" s="18" t="s">
        <v>192</v>
      </c>
      <c r="F74" s="19"/>
      <c r="G74" s="13" t="s">
        <v>69</v>
      </c>
    </row>
    <row r="75" ht="15.0" customHeight="1">
      <c r="A75" s="13" t="s">
        <v>198</v>
      </c>
      <c r="B75" s="14">
        <v>20.0</v>
      </c>
      <c r="C75" s="16"/>
      <c r="D75" s="16"/>
      <c r="E75" s="18" t="s">
        <v>192</v>
      </c>
      <c r="F75" s="19"/>
      <c r="G75" s="13" t="s">
        <v>69</v>
      </c>
    </row>
    <row r="76" ht="15.0" customHeight="1">
      <c r="A76" s="13" t="s">
        <v>199</v>
      </c>
      <c r="B76" s="14">
        <v>15.0</v>
      </c>
      <c r="C76" s="16"/>
      <c r="D76" s="16"/>
      <c r="E76" s="18" t="s">
        <v>192</v>
      </c>
      <c r="F76" s="19"/>
      <c r="G76" s="13" t="s">
        <v>69</v>
      </c>
    </row>
    <row r="77" ht="15.0" customHeight="1">
      <c r="A77" s="13" t="s">
        <v>200</v>
      </c>
      <c r="B77" s="14">
        <v>5.0</v>
      </c>
      <c r="C77" s="16"/>
      <c r="D77" s="16"/>
      <c r="E77" s="18" t="s">
        <v>192</v>
      </c>
      <c r="F77" s="19"/>
      <c r="G77" s="13" t="s">
        <v>69</v>
      </c>
    </row>
    <row r="78" ht="15.0" customHeight="1">
      <c r="A78" s="13" t="s">
        <v>201</v>
      </c>
      <c r="B78" s="14">
        <v>5.0</v>
      </c>
      <c r="C78" s="16"/>
      <c r="D78" s="16"/>
      <c r="E78" s="18" t="s">
        <v>192</v>
      </c>
      <c r="F78" s="19"/>
      <c r="G78" s="13" t="s">
        <v>69</v>
      </c>
    </row>
    <row r="79" ht="15.75" customHeight="1">
      <c r="A79" s="29" t="s">
        <v>203</v>
      </c>
      <c r="B79" s="30">
        <f>SUM(B71:B78)</f>
        <v>100</v>
      </c>
      <c r="E79" s="31" t="s">
        <v>206</v>
      </c>
    </row>
    <row r="80" ht="15.0" customHeight="1">
      <c r="A80" s="13" t="s">
        <v>207</v>
      </c>
      <c r="B80" s="14">
        <v>30.0</v>
      </c>
      <c r="C80" s="16"/>
      <c r="D80" s="16"/>
      <c r="E80" s="18" t="s">
        <v>208</v>
      </c>
      <c r="F80" s="19" t="s">
        <v>209</v>
      </c>
      <c r="G80" s="13" t="s">
        <v>69</v>
      </c>
    </row>
    <row r="81" ht="15.0" customHeight="1">
      <c r="A81" s="13" t="s">
        <v>210</v>
      </c>
      <c r="B81" s="14">
        <v>50.0</v>
      </c>
      <c r="C81" s="16"/>
      <c r="D81" s="16"/>
      <c r="E81" s="18" t="s">
        <v>208</v>
      </c>
      <c r="F81" s="19"/>
      <c r="G81" s="13" t="s">
        <v>69</v>
      </c>
    </row>
    <row r="82" ht="15.0" customHeight="1">
      <c r="A82" s="13" t="s">
        <v>211</v>
      </c>
      <c r="B82" s="14">
        <v>20.0</v>
      </c>
      <c r="C82" s="16"/>
      <c r="D82" s="16"/>
      <c r="E82" s="18" t="s">
        <v>208</v>
      </c>
      <c r="F82" s="19"/>
      <c r="G82" s="13" t="s">
        <v>69</v>
      </c>
    </row>
    <row r="83" ht="15.75" customHeight="1">
      <c r="A83" s="29" t="s">
        <v>212</v>
      </c>
      <c r="B83" s="30">
        <f>SUM(B80:B82)</f>
        <v>100</v>
      </c>
      <c r="E83" s="31" t="s">
        <v>206</v>
      </c>
    </row>
    <row r="84" ht="15.0" customHeight="1">
      <c r="A84" s="13" t="s">
        <v>213</v>
      </c>
      <c r="B84" s="14">
        <v>2031.0</v>
      </c>
      <c r="C84" s="16"/>
      <c r="D84" s="16"/>
      <c r="E84" s="18" t="s">
        <v>214</v>
      </c>
      <c r="F84" s="19" t="s">
        <v>215</v>
      </c>
      <c r="G84" s="13" t="s">
        <v>46</v>
      </c>
    </row>
    <row r="85" ht="15.0" customHeight="1">
      <c r="A85" s="13" t="s">
        <v>217</v>
      </c>
      <c r="B85" s="14">
        <v>2028.0</v>
      </c>
      <c r="C85" s="16"/>
      <c r="D85" s="16"/>
      <c r="E85" s="18" t="s">
        <v>214</v>
      </c>
      <c r="F85" s="19" t="s">
        <v>218</v>
      </c>
      <c r="G85" s="13" t="s">
        <v>46</v>
      </c>
    </row>
    <row r="86" ht="15.75" customHeight="1"/>
    <row r="87" ht="15.75" customHeight="1">
      <c r="A87" s="6" t="s">
        <v>219</v>
      </c>
      <c r="B87" s="8"/>
      <c r="C87" s="8"/>
      <c r="D87" s="8"/>
      <c r="E87" s="8"/>
      <c r="F87" s="8"/>
      <c r="G87" s="8"/>
    </row>
    <row r="88" ht="15.75" customHeight="1">
      <c r="A88" s="9" t="s">
        <v>220</v>
      </c>
      <c r="B88" s="9" t="s">
        <v>221</v>
      </c>
      <c r="C88" s="9" t="s">
        <v>222</v>
      </c>
      <c r="D88" s="9" t="s">
        <v>223</v>
      </c>
      <c r="E88" s="9" t="s">
        <v>17</v>
      </c>
      <c r="F88" s="9" t="s">
        <v>19</v>
      </c>
      <c r="G88" s="9" t="s">
        <v>20</v>
      </c>
    </row>
    <row r="89" ht="15.0" customHeight="1">
      <c r="A89" s="13" t="s">
        <v>224</v>
      </c>
      <c r="B89" s="32">
        <v>0.0</v>
      </c>
      <c r="C89" s="23">
        <v>0.48</v>
      </c>
      <c r="D89" s="23">
        <v>0.3</v>
      </c>
      <c r="E89" s="28" t="s">
        <v>225</v>
      </c>
      <c r="F89" s="19" t="s">
        <v>226</v>
      </c>
      <c r="G89" s="13" t="s">
        <v>69</v>
      </c>
    </row>
    <row r="90" ht="15.0" customHeight="1">
      <c r="A90" s="13" t="s">
        <v>227</v>
      </c>
      <c r="B90" s="32">
        <v>20000.0</v>
      </c>
      <c r="C90" s="23">
        <v>0.22</v>
      </c>
      <c r="D90" s="23">
        <v>0.2</v>
      </c>
      <c r="E90" s="28" t="s">
        <v>225</v>
      </c>
      <c r="F90" s="19" t="s">
        <v>228</v>
      </c>
      <c r="G90" s="13" t="s">
        <v>69</v>
      </c>
    </row>
    <row r="91" ht="15.0" customHeight="1">
      <c r="A91" s="13" t="s">
        <v>229</v>
      </c>
      <c r="B91" s="32">
        <v>100000.0</v>
      </c>
      <c r="C91" s="23">
        <v>0.15</v>
      </c>
      <c r="D91" s="23">
        <v>0.2</v>
      </c>
      <c r="E91" s="28" t="s">
        <v>225</v>
      </c>
      <c r="F91" s="19" t="s">
        <v>230</v>
      </c>
      <c r="G91" s="13" t="s">
        <v>69</v>
      </c>
    </row>
    <row r="92" ht="15.0" customHeight="1">
      <c r="A92" s="13" t="s">
        <v>231</v>
      </c>
      <c r="B92" s="32">
        <v>500000.0</v>
      </c>
      <c r="C92" s="23">
        <v>0.14</v>
      </c>
      <c r="D92" s="23">
        <v>0.25</v>
      </c>
      <c r="E92" s="28" t="s">
        <v>225</v>
      </c>
      <c r="F92" s="19" t="s">
        <v>232</v>
      </c>
      <c r="G92" s="13" t="s">
        <v>69</v>
      </c>
    </row>
    <row r="93" ht="28.5" customHeight="1">
      <c r="A93" s="13" t="s">
        <v>233</v>
      </c>
      <c r="B93" s="32">
        <v>1.5E7</v>
      </c>
      <c r="C93" s="23">
        <v>0.01</v>
      </c>
      <c r="D93" s="23">
        <v>0.05</v>
      </c>
      <c r="E93" s="28" t="s">
        <v>225</v>
      </c>
      <c r="F93" s="19" t="s">
        <v>234</v>
      </c>
      <c r="G93" s="13" t="s">
        <v>69</v>
      </c>
    </row>
    <row r="94" ht="15.75" customHeight="1">
      <c r="A94" s="13" t="s">
        <v>235</v>
      </c>
      <c r="B94" s="24">
        <v>183.9</v>
      </c>
      <c r="E94" s="12" t="s">
        <v>236</v>
      </c>
      <c r="F94" s="19" t="s">
        <v>237</v>
      </c>
      <c r="G94" s="12" t="s">
        <v>60</v>
      </c>
    </row>
    <row r="95" ht="15.75" customHeight="1">
      <c r="A95" s="13" t="s">
        <v>238</v>
      </c>
      <c r="B95" s="23">
        <v>0.5</v>
      </c>
      <c r="E95" s="12" t="s">
        <v>93</v>
      </c>
      <c r="F95" s="19" t="s">
        <v>239</v>
      </c>
      <c r="G95" s="12" t="s">
        <v>69</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F2"/>
    <mergeCell ref="A3:F3"/>
    <mergeCell ref="A58:F58"/>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62.0"/>
    <col customWidth="1" min="2" max="12" width="10.57"/>
    <col customWidth="1" min="13" max="26" width="8.71"/>
  </cols>
  <sheetData>
    <row r="1">
      <c r="A1" s="1" t="s">
        <v>3</v>
      </c>
    </row>
    <row r="2">
      <c r="A2" s="5" t="s">
        <v>7</v>
      </c>
    </row>
    <row r="3">
      <c r="A3" s="10" t="s">
        <v>11</v>
      </c>
      <c r="B3" s="11">
        <v>2026.0</v>
      </c>
      <c r="C3" s="11">
        <v>2027.0</v>
      </c>
      <c r="D3" s="11">
        <v>2028.0</v>
      </c>
      <c r="E3" s="11">
        <v>2029.0</v>
      </c>
      <c r="F3" s="11">
        <v>2030.0</v>
      </c>
      <c r="G3" s="11">
        <v>2031.0</v>
      </c>
      <c r="H3" s="11">
        <v>2032.0</v>
      </c>
      <c r="I3" s="11">
        <v>2033.0</v>
      </c>
      <c r="J3" s="11">
        <v>2034.0</v>
      </c>
      <c r="K3" s="11">
        <v>2035.0</v>
      </c>
      <c r="L3" s="11">
        <v>2036.0</v>
      </c>
    </row>
    <row r="4">
      <c r="A4" s="6" t="s">
        <v>24</v>
      </c>
      <c r="B4" s="8"/>
      <c r="C4" s="8"/>
      <c r="D4" s="8"/>
      <c r="E4" s="8"/>
      <c r="F4" s="8"/>
      <c r="G4" s="8"/>
      <c r="H4" s="8"/>
      <c r="I4" s="8"/>
      <c r="J4" s="8"/>
      <c r="K4" s="8"/>
      <c r="L4" s="8"/>
    </row>
    <row r="5">
      <c r="A5" s="12" t="s">
        <v>26</v>
      </c>
      <c r="B5" s="21">
        <f>MIN(Inputs!$B$25,Inputs!$B$23+Inputs!$B$24*0)-0</f>
        <v>0.5</v>
      </c>
      <c r="C5" s="21">
        <f>MIN(Inputs!$B$25,Inputs!$B$23+Inputs!$B$24*1)-Inputs!$B$9/100</f>
        <v>0.525</v>
      </c>
      <c r="D5" s="21">
        <f>MIN(Inputs!$B$25,Inputs!$B$23+Inputs!$B$24*2)-Inputs!$B$9/100</f>
        <v>0.55</v>
      </c>
      <c r="E5" s="21">
        <f>MIN(Inputs!$B$25,Inputs!$B$23+Inputs!$B$24*3)-Inputs!$B$9/100</f>
        <v>0.575</v>
      </c>
      <c r="F5" s="21">
        <f>MIN(Inputs!$B$25,Inputs!$B$23+Inputs!$B$24*4)-Inputs!$B$9/100</f>
        <v>0.6</v>
      </c>
      <c r="G5" s="21">
        <f>MIN(Inputs!$B$25,Inputs!$B$23+Inputs!$B$24*5)-Inputs!$B$9/100</f>
        <v>0.625</v>
      </c>
      <c r="H5" s="21">
        <f>MIN(Inputs!$B$25,Inputs!$B$23+Inputs!$B$24*6)-Inputs!$B$9/100</f>
        <v>0.65</v>
      </c>
      <c r="I5" s="21">
        <f>MIN(Inputs!$B$25,Inputs!$B$23+Inputs!$B$24*7)-Inputs!$B$9/100</f>
        <v>0.675</v>
      </c>
      <c r="J5" s="21">
        <f>MIN(Inputs!$B$25,Inputs!$B$23+Inputs!$B$24*8)-Inputs!$B$9/100</f>
        <v>0.7</v>
      </c>
      <c r="K5" s="21">
        <f>MIN(Inputs!$B$25,Inputs!$B$23+Inputs!$B$24*9)-Inputs!$B$9/100</f>
        <v>0.7</v>
      </c>
      <c r="L5" s="21">
        <f>MIN(Inputs!$B$25,Inputs!$B$23+Inputs!$B$24*10)-Inputs!$B$9/100</f>
        <v>0.7</v>
      </c>
    </row>
    <row r="6">
      <c r="A6" s="12" t="s">
        <v>196</v>
      </c>
      <c r="B6" s="21">
        <f>MIN(Inputs!$B$29,Inputs!$B$27+Inputs!$B$28*0)</f>
        <v>0.4</v>
      </c>
      <c r="C6" s="21">
        <f>MIN(Inputs!$B$29,Inputs!$B$27+Inputs!$B$28*1)</f>
        <v>0.43</v>
      </c>
      <c r="D6" s="21">
        <f>MIN(Inputs!$B$29,Inputs!$B$27+Inputs!$B$28*2)</f>
        <v>0.46</v>
      </c>
      <c r="E6" s="21">
        <f>MIN(Inputs!$B$29,Inputs!$B$27+Inputs!$B$28*3)</f>
        <v>0.49</v>
      </c>
      <c r="F6" s="21">
        <f>MIN(Inputs!$B$29,Inputs!$B$27+Inputs!$B$28*4)</f>
        <v>0.52</v>
      </c>
      <c r="G6" s="21">
        <f>MIN(Inputs!$B$29,Inputs!$B$27+Inputs!$B$28*5)</f>
        <v>0.55</v>
      </c>
      <c r="H6" s="21">
        <f>MIN(Inputs!$B$29,Inputs!$B$27+Inputs!$B$28*6)</f>
        <v>0.58</v>
      </c>
      <c r="I6" s="21">
        <f>MIN(Inputs!$B$29,Inputs!$B$27+Inputs!$B$28*7)</f>
        <v>0.6</v>
      </c>
      <c r="J6" s="21">
        <f>MIN(Inputs!$B$29,Inputs!$B$27+Inputs!$B$28*8)</f>
        <v>0.6</v>
      </c>
      <c r="K6" s="21">
        <f>MIN(Inputs!$B$29,Inputs!$B$27+Inputs!$B$28*9)</f>
        <v>0.6</v>
      </c>
      <c r="L6" s="21">
        <f>MIN(Inputs!$B$29,Inputs!$B$27+Inputs!$B$28*10)</f>
        <v>0.6</v>
      </c>
    </row>
    <row r="7">
      <c r="A7" s="12" t="s">
        <v>240</v>
      </c>
      <c r="B7" s="33">
        <f>IF(Inputs!$B$12=1,B6/$B$6,B6)</f>
        <v>1</v>
      </c>
      <c r="C7" s="33">
        <f>IF(Inputs!$B$12=1,C6/$B$6,C6)</f>
        <v>1.075</v>
      </c>
      <c r="D7" s="33">
        <f>IF(Inputs!$B$12=1,D6/$B$6,D6)</f>
        <v>1.15</v>
      </c>
      <c r="E7" s="33">
        <f>IF(Inputs!$B$12=1,E6/$B$6,E6)</f>
        <v>1.225</v>
      </c>
      <c r="F7" s="33">
        <f>IF(Inputs!$B$12=1,F6/$B$6,F6)</f>
        <v>1.3</v>
      </c>
      <c r="G7" s="33">
        <f>IF(Inputs!$B$12=1,G6/$B$6,G6)</f>
        <v>1.375</v>
      </c>
      <c r="H7" s="33">
        <f>IF(Inputs!$B$12=1,H6/$B$6,H6)</f>
        <v>1.45</v>
      </c>
      <c r="I7" s="33">
        <f>IF(Inputs!$B$12=1,I6/$B$6,I6)</f>
        <v>1.5</v>
      </c>
      <c r="J7" s="33">
        <f>IF(Inputs!$B$12=1,J6/$B$6,J6)</f>
        <v>1.5</v>
      </c>
      <c r="K7" s="33">
        <f>IF(Inputs!$B$12=1,K6/$B$6,K6)</f>
        <v>1.5</v>
      </c>
      <c r="L7" s="33">
        <f>IF(Inputs!$B$12=1,L6/$B$6,L6)</f>
        <v>1.5</v>
      </c>
    </row>
    <row r="8">
      <c r="A8" s="12" t="s">
        <v>241</v>
      </c>
      <c r="B8" s="21">
        <f>MIN(Inputs!$B$36,Inputs!$B$34+Inputs!$B$35*0)</f>
        <v>0.35</v>
      </c>
      <c r="C8" s="21">
        <f>MIN(Inputs!$B$36,Inputs!$B$34+Inputs!$B$35*1)</f>
        <v>0.4</v>
      </c>
      <c r="D8" s="21">
        <f>MIN(Inputs!$B$36,Inputs!$B$34+Inputs!$B$35*2)</f>
        <v>0.45</v>
      </c>
      <c r="E8" s="21">
        <f>MIN(Inputs!$B$36,Inputs!$B$34+Inputs!$B$35*3)</f>
        <v>0.5</v>
      </c>
      <c r="F8" s="21">
        <f>MIN(Inputs!$B$36,Inputs!$B$34+Inputs!$B$35*4)</f>
        <v>0.55</v>
      </c>
      <c r="G8" s="21">
        <f>MIN(Inputs!$B$36,Inputs!$B$34+Inputs!$B$35*5)</f>
        <v>0.6</v>
      </c>
      <c r="H8" s="21">
        <f>MIN(Inputs!$B$36,Inputs!$B$34+Inputs!$B$35*6)</f>
        <v>0.65</v>
      </c>
      <c r="I8" s="21">
        <f>MIN(Inputs!$B$36,Inputs!$B$34+Inputs!$B$35*7)</f>
        <v>0.7</v>
      </c>
      <c r="J8" s="21">
        <f>MIN(Inputs!$B$36,Inputs!$B$34+Inputs!$B$35*8)</f>
        <v>0.75</v>
      </c>
      <c r="K8" s="21">
        <f>MIN(Inputs!$B$36,Inputs!$B$34+Inputs!$B$35*9)</f>
        <v>0.75</v>
      </c>
      <c r="L8" s="21">
        <f>MIN(Inputs!$B$36,Inputs!$B$34+Inputs!$B$35*10)</f>
        <v>0.75</v>
      </c>
    </row>
    <row r="9">
      <c r="A9" s="12" t="s">
        <v>244</v>
      </c>
      <c r="B9" s="33">
        <f>Inputs!$B$37*(1-B8)/(1-Inputs!$B$34)+(1-B8-Inputs!$B$37*(1-B8)/(1-Inputs!$B$34))*Inputs!$B$38+B8*Inputs!$B$39</f>
        <v>0.162</v>
      </c>
      <c r="C9" s="33">
        <f>Inputs!$B$37*(1-C8)/(1-Inputs!$B$34)+(1-C8-Inputs!$B$37*(1-C8)/(1-Inputs!$B$34))*Inputs!$B$38+C8*Inputs!$B$39</f>
        <v>0.1510769231</v>
      </c>
      <c r="D9" s="33">
        <f>Inputs!$B$37*(1-D8)/(1-Inputs!$B$34)+(1-D8-Inputs!$B$37*(1-D8)/(1-Inputs!$B$34))*Inputs!$B$38+D8*Inputs!$B$39</f>
        <v>0.1401538462</v>
      </c>
      <c r="E9" s="33">
        <f>Inputs!$B$37*(1-E8)/(1-Inputs!$B$34)+(1-E8-Inputs!$B$37*(1-E8)/(1-Inputs!$B$34))*Inputs!$B$38+E8*Inputs!$B$39</f>
        <v>0.1292307692</v>
      </c>
      <c r="F9" s="33">
        <f>Inputs!$B$37*(1-F8)/(1-Inputs!$B$34)+(1-F8-Inputs!$B$37*(1-F8)/(1-Inputs!$B$34))*Inputs!$B$38+F8*Inputs!$B$39</f>
        <v>0.1183076923</v>
      </c>
      <c r="G9" s="33">
        <f>Inputs!$B$37*(1-G8)/(1-Inputs!$B$34)+(1-G8-Inputs!$B$37*(1-G8)/(1-Inputs!$B$34))*Inputs!$B$38+G8*Inputs!$B$39</f>
        <v>0.1073846154</v>
      </c>
      <c r="H9" s="33">
        <f>Inputs!$B$37*(1-H8)/(1-Inputs!$B$34)+(1-H8-Inputs!$B$37*(1-H8)/(1-Inputs!$B$34))*Inputs!$B$38+H8*Inputs!$B$39</f>
        <v>0.09646153846</v>
      </c>
      <c r="I9" s="33">
        <f>Inputs!$B$37*(1-I8)/(1-Inputs!$B$34)+(1-I8-Inputs!$B$37*(1-I8)/(1-Inputs!$B$34))*Inputs!$B$38+I8*Inputs!$B$39</f>
        <v>0.08553846154</v>
      </c>
      <c r="J9" s="33">
        <f>Inputs!$B$37*(1-J8)/(1-Inputs!$B$34)+(1-J8-Inputs!$B$37*(1-J8)/(1-Inputs!$B$34))*Inputs!$B$38+J8*Inputs!$B$39</f>
        <v>0.07461538462</v>
      </c>
      <c r="K9" s="33">
        <f>Inputs!$B$37*(1-K8)/(1-Inputs!$B$34)+(1-K8-Inputs!$B$37*(1-K8)/(1-Inputs!$B$34))*Inputs!$B$38+K8*Inputs!$B$39</f>
        <v>0.07461538462</v>
      </c>
      <c r="L9" s="33">
        <f>Inputs!$B$37*(1-L8)/(1-Inputs!$B$34)+(1-L8-Inputs!$B$37*(1-L8)/(1-Inputs!$B$34))*Inputs!$B$38+L8*Inputs!$B$39</f>
        <v>0.07461538462</v>
      </c>
    </row>
    <row r="10">
      <c r="A10" s="12" t="s">
        <v>254</v>
      </c>
      <c r="B10" s="33">
        <f>IF(Inputs!$B$8=1,1,B9/$B$9)</f>
        <v>1</v>
      </c>
      <c r="C10" s="33">
        <f>IF(Inputs!$B$8=1,1,C9/$B$9)</f>
        <v>0.9325735992</v>
      </c>
      <c r="D10" s="33">
        <f>IF(Inputs!$B$8=1,1,D9/$B$9)</f>
        <v>0.8651471985</v>
      </c>
      <c r="E10" s="33">
        <f>IF(Inputs!$B$8=1,1,E9/$B$9)</f>
        <v>0.7977207977</v>
      </c>
      <c r="F10" s="33">
        <f>IF(Inputs!$B$8=1,1,F9/$B$9)</f>
        <v>0.730294397</v>
      </c>
      <c r="G10" s="33">
        <f>IF(Inputs!$B$8=1,1,G9/$B$9)</f>
        <v>0.6628679962</v>
      </c>
      <c r="H10" s="33">
        <f>IF(Inputs!$B$8=1,1,H9/$B$9)</f>
        <v>0.5954415954</v>
      </c>
      <c r="I10" s="33">
        <f>IF(Inputs!$B$8=1,1,I9/$B$9)</f>
        <v>0.5280151947</v>
      </c>
      <c r="J10" s="33">
        <f>IF(Inputs!$B$8=1,1,J9/$B$9)</f>
        <v>0.4605887939</v>
      </c>
      <c r="K10" s="33">
        <f>IF(Inputs!$B$8=1,1,K9/$B$9)</f>
        <v>0.4605887939</v>
      </c>
      <c r="L10" s="33">
        <f>IF(Inputs!$B$8=1,1,L9/$B$9)</f>
        <v>0.4605887939</v>
      </c>
    </row>
    <row r="11">
      <c r="A11" s="6" t="s">
        <v>255</v>
      </c>
      <c r="B11" s="8"/>
      <c r="C11" s="8"/>
      <c r="D11" s="8"/>
      <c r="E11" s="8"/>
      <c r="F11" s="8"/>
      <c r="G11" s="8"/>
      <c r="H11" s="8"/>
      <c r="I11" s="8"/>
      <c r="J11" s="8"/>
      <c r="K11" s="8"/>
      <c r="L11" s="8"/>
    </row>
    <row r="12">
      <c r="A12" s="12" t="s">
        <v>256</v>
      </c>
      <c r="B12" s="37">
        <v>0.0</v>
      </c>
      <c r="C12" s="37">
        <f>Inputs!$B$51</f>
        <v>6</v>
      </c>
      <c r="D12" s="37">
        <f>C12*(1+Inputs!$B$52)</f>
        <v>6.3</v>
      </c>
      <c r="E12" s="37">
        <f>D12*(1+Inputs!$B$52)</f>
        <v>6.615</v>
      </c>
      <c r="F12" s="37">
        <f>E12*(1+Inputs!$B$52)</f>
        <v>6.94575</v>
      </c>
      <c r="G12" s="37">
        <f>F12*(1+Inputs!$B$52)</f>
        <v>7.2930375</v>
      </c>
      <c r="H12" s="37">
        <f>G12*(1+Inputs!$B$31)</f>
        <v>7.657689375</v>
      </c>
      <c r="I12" s="37">
        <f>H12*(1+Inputs!$B$31)</f>
        <v>8.040573844</v>
      </c>
      <c r="J12" s="37">
        <f>I12*(1+Inputs!$B$31)</f>
        <v>8.442602536</v>
      </c>
      <c r="K12" s="37">
        <f>J12*(1+Inputs!$B$31)</f>
        <v>8.864732663</v>
      </c>
      <c r="L12" s="37">
        <f>K12*(1+Inputs!$B$31)</f>
        <v>9.307969296</v>
      </c>
    </row>
    <row r="13">
      <c r="A13" s="12" t="s">
        <v>257</v>
      </c>
      <c r="B13" s="37">
        <f>Inputs!$B$19</f>
        <v>15</v>
      </c>
      <c r="C13" s="37">
        <f t="shared" ref="C13:L13" si="1">B13+C12</f>
        <v>21</v>
      </c>
      <c r="D13" s="37">
        <f t="shared" si="1"/>
        <v>27.3</v>
      </c>
      <c r="E13" s="37">
        <f t="shared" si="1"/>
        <v>33.915</v>
      </c>
      <c r="F13" s="37">
        <f t="shared" si="1"/>
        <v>40.86075</v>
      </c>
      <c r="G13" s="37">
        <f t="shared" si="1"/>
        <v>48.1537875</v>
      </c>
      <c r="H13" s="37">
        <f t="shared" si="1"/>
        <v>55.81147688</v>
      </c>
      <c r="I13" s="37">
        <f t="shared" si="1"/>
        <v>63.85205072</v>
      </c>
      <c r="J13" s="37">
        <f t="shared" si="1"/>
        <v>72.29465325</v>
      </c>
      <c r="K13" s="37">
        <f t="shared" si="1"/>
        <v>81.15938592</v>
      </c>
      <c r="L13" s="37">
        <f t="shared" si="1"/>
        <v>90.46735521</v>
      </c>
    </row>
    <row r="14">
      <c r="A14" s="12" t="s">
        <v>258</v>
      </c>
      <c r="B14" s="38">
        <v>1.0</v>
      </c>
      <c r="C14" s="38">
        <f>B14*MAX(Inputs!$B$55,Inputs!$B$53*Inputs!$B$54^0)/Inputs!$B$30</f>
        <v>1.208333333</v>
      </c>
      <c r="D14" s="38">
        <f>C14*MAX(Inputs!$B$55,Inputs!$B$53*Inputs!$B$54^1)/Inputs!$B$30</f>
        <v>1.460069444</v>
      </c>
      <c r="E14" s="38">
        <f>D14*MAX(Inputs!$B$55,Inputs!$B$53*Inputs!$B$54^2)/Inputs!$B$30</f>
        <v>1.764250579</v>
      </c>
      <c r="F14" s="38">
        <f>E14*MAX(Inputs!$B$55,Inputs!$B$53*Inputs!$B$54^3)/Inputs!$B$30</f>
        <v>2.131802783</v>
      </c>
      <c r="G14" s="38">
        <f>F14*MAX(Inputs!$B$55,Inputs!$B$53*Inputs!$B$54^4)/Inputs!$B$30</f>
        <v>2.575928362</v>
      </c>
      <c r="H14" s="38">
        <f>G14*MAX(Inputs!$B$55,Inputs!$B$53*Inputs!$B$54^5)/Inputs!$B$30</f>
        <v>3.112580104</v>
      </c>
      <c r="I14" s="38">
        <f>H14*MAX(Inputs!$B$55,Inputs!$B$53*Inputs!$B$54^6)/Inputs!$B$30</f>
        <v>3.761034293</v>
      </c>
      <c r="J14" s="38">
        <f>I14*MAX(Inputs!$B$55,Inputs!$B$53*Inputs!$B$54^7)/Inputs!$B$30</f>
        <v>4.544583104</v>
      </c>
      <c r="K14" s="38">
        <f>J14*MAX(Inputs!$B$55,Inputs!$B$53*Inputs!$B$54^8)/Inputs!$B$30</f>
        <v>5.491371251</v>
      </c>
      <c r="L14" s="38">
        <f>K14*MAX(Inputs!$B$55,Inputs!$B$53*Inputs!$B$54^9)/Inputs!$B$30</f>
        <v>6.635406928</v>
      </c>
    </row>
    <row r="15">
      <c r="A15" s="40" t="s">
        <v>259</v>
      </c>
      <c r="B15" s="41">
        <f>B13*1000*B5*Inputs!$B$26*B7*Inputs!$B$20*86400/1000000*B14*B52</f>
        <v>311.04</v>
      </c>
      <c r="C15" s="41">
        <f>C13*1000*C5*Inputs!$B$26*C7*Inputs!$B$20*86400/1000000*C14*C52</f>
        <v>593.92116</v>
      </c>
      <c r="D15" s="41">
        <f>D13*1000*D5*Inputs!$B$26*D7*Inputs!$B$20*86400/1000000*D14*D52</f>
        <v>1045.566522</v>
      </c>
      <c r="E15" s="41">
        <f>E13*1000*E5*Inputs!$B$26*E7*Inputs!$B$20*86400/1000000*E14*E52</f>
        <v>1747.877546</v>
      </c>
      <c r="F15" s="41">
        <f>F13*1000*F5*Inputs!$B$26*F7*Inputs!$B$20*86400/1000000*F14*F52</f>
        <v>2817.753132</v>
      </c>
      <c r="G15" s="41">
        <f>G13*1000*G5*Inputs!$B$26*G7*Inputs!$B$20*86400/1000000*G14*G52</f>
        <v>4420.810797</v>
      </c>
      <c r="H15" s="41">
        <f>H13*1000*H5*Inputs!$B$26*H7*Inputs!$B$20*86400/1000000*H14*H52</f>
        <v>6790.165986</v>
      </c>
      <c r="I15" s="41">
        <f>I13*1000*I5*Inputs!$B$26*I7*Inputs!$B$20*86400/1000000*I14*I52</f>
        <v>10083.98416</v>
      </c>
      <c r="J15" s="41">
        <f>J13*1000*J5*Inputs!$B$26*J7*Inputs!$B$20*86400/1000000*J14*J52</f>
        <v>14306.86593</v>
      </c>
      <c r="K15" s="41">
        <f>K13*1000*K5*Inputs!$B$26*K7*Inputs!$B$20*86400/1000000*K14*K52</f>
        <v>19407.2427</v>
      </c>
      <c r="L15" s="41">
        <f>L13*1000*L5*Inputs!$B$26*L7*Inputs!$B$20*86400/1000000*L14*L52</f>
        <v>26139.88874</v>
      </c>
    </row>
    <row r="16">
      <c r="A16" s="6" t="s">
        <v>260</v>
      </c>
      <c r="B16" s="8"/>
      <c r="C16" s="8"/>
      <c r="D16" s="8"/>
      <c r="E16" s="8"/>
      <c r="F16" s="8"/>
      <c r="G16" s="8"/>
      <c r="H16" s="8"/>
      <c r="I16" s="8"/>
      <c r="J16" s="8"/>
      <c r="K16" s="8"/>
      <c r="L16" s="8"/>
    </row>
    <row r="17">
      <c r="A17" s="12" t="s">
        <v>256</v>
      </c>
      <c r="B17" s="37">
        <v>0.0</v>
      </c>
      <c r="C17" s="37">
        <f>Inputs!$C$51</f>
        <v>12</v>
      </c>
      <c r="D17" s="37">
        <f>C17*(1+Inputs!$C$52)</f>
        <v>14.64</v>
      </c>
      <c r="E17" s="37">
        <f>D17*(1+Inputs!$C$52)</f>
        <v>17.8608</v>
      </c>
      <c r="F17" s="37">
        <f>E17*(1+Inputs!$C$52)</f>
        <v>21.790176</v>
      </c>
      <c r="G17" s="37">
        <f>F17*(1+Inputs!$C$52)</f>
        <v>26.58401472</v>
      </c>
      <c r="H17" s="37">
        <f>G17*(1+Inputs!$B$31)</f>
        <v>27.91321546</v>
      </c>
      <c r="I17" s="37">
        <f>H17*(1+Inputs!$B$31)</f>
        <v>29.30887623</v>
      </c>
      <c r="J17" s="37">
        <f>I17*(1+Inputs!$B$31)</f>
        <v>30.77432004</v>
      </c>
      <c r="K17" s="37">
        <f>J17*(1+Inputs!$B$31)</f>
        <v>32.31303604</v>
      </c>
      <c r="L17" s="37">
        <f>K17*(1+Inputs!$B$31)</f>
        <v>33.92868784</v>
      </c>
    </row>
    <row r="18">
      <c r="A18" s="12" t="s">
        <v>257</v>
      </c>
      <c r="B18" s="37">
        <f>Inputs!$B$19</f>
        <v>15</v>
      </c>
      <c r="C18" s="37">
        <f t="shared" ref="C18:L18" si="2">B18+C17</f>
        <v>27</v>
      </c>
      <c r="D18" s="37">
        <f t="shared" si="2"/>
        <v>41.64</v>
      </c>
      <c r="E18" s="37">
        <f t="shared" si="2"/>
        <v>59.5008</v>
      </c>
      <c r="F18" s="37">
        <f t="shared" si="2"/>
        <v>81.290976</v>
      </c>
      <c r="G18" s="37">
        <f t="shared" si="2"/>
        <v>107.8749907</v>
      </c>
      <c r="H18" s="37">
        <f t="shared" si="2"/>
        <v>135.7882062</v>
      </c>
      <c r="I18" s="37">
        <f t="shared" si="2"/>
        <v>165.0970824</v>
      </c>
      <c r="J18" s="37">
        <f t="shared" si="2"/>
        <v>195.8714024</v>
      </c>
      <c r="K18" s="37">
        <f t="shared" si="2"/>
        <v>228.1844385</v>
      </c>
      <c r="L18" s="37">
        <f t="shared" si="2"/>
        <v>262.1131263</v>
      </c>
    </row>
    <row r="19">
      <c r="A19" s="12" t="s">
        <v>258</v>
      </c>
      <c r="B19" s="38">
        <v>1.0</v>
      </c>
      <c r="C19" s="38">
        <f>B19*MAX(Inputs!$C$55,Inputs!$C$53*Inputs!$C$54^0)/Inputs!$B$30</f>
        <v>1.7</v>
      </c>
      <c r="D19" s="38">
        <f>C19*MAX(Inputs!$C$55,Inputs!$C$53*Inputs!$C$54^1)/Inputs!$B$30</f>
        <v>2.4565</v>
      </c>
      <c r="E19" s="38">
        <f>D19*MAX(Inputs!$C$55,Inputs!$C$53*Inputs!$C$54^2)/Inputs!$B$30</f>
        <v>3.070625</v>
      </c>
      <c r="F19" s="38">
        <f>E19*MAX(Inputs!$C$55,Inputs!$C$53*Inputs!$C$54^3)/Inputs!$B$30</f>
        <v>3.83828125</v>
      </c>
      <c r="G19" s="38">
        <f>F19*MAX(Inputs!$C$55,Inputs!$C$53*Inputs!$C$54^4)/Inputs!$B$30</f>
        <v>4.797851563</v>
      </c>
      <c r="H19" s="38">
        <f>G19*MAX(Inputs!$C$55,Inputs!$C$53*Inputs!$C$54^5)/Inputs!$B$30</f>
        <v>5.997314453</v>
      </c>
      <c r="I19" s="38">
        <f>H19*MAX(Inputs!$C$55,Inputs!$C$53*Inputs!$C$54^6)/Inputs!$B$30</f>
        <v>7.496643066</v>
      </c>
      <c r="J19" s="38">
        <f>I19*MAX(Inputs!$C$55,Inputs!$C$53*Inputs!$C$54^7)/Inputs!$B$30</f>
        <v>9.370803833</v>
      </c>
      <c r="K19" s="38">
        <f>J19*MAX(Inputs!$C$55,Inputs!$C$53*Inputs!$C$54^8)/Inputs!$B$30</f>
        <v>11.71350479</v>
      </c>
      <c r="L19" s="38">
        <f>K19*MAX(Inputs!$C$55,Inputs!$C$53*Inputs!$C$54^9)/Inputs!$B$30</f>
        <v>14.64188099</v>
      </c>
    </row>
    <row r="20">
      <c r="A20" s="40" t="s">
        <v>261</v>
      </c>
      <c r="B20" s="41">
        <f>B18*1000*B5*Inputs!$B$26*B7*Inputs!$B$20*86400/1000000*B19*B53</f>
        <v>311.04</v>
      </c>
      <c r="C20" s="41">
        <f>C18*1000*C5*Inputs!$B$26*C7*Inputs!$B$20*86400/1000000*C19*C53</f>
        <v>1074.324384</v>
      </c>
      <c r="D20" s="41">
        <f>D18*1000*D5*Inputs!$B$26*D7*Inputs!$B$20*86400/1000000*D19*D53</f>
        <v>2683.137932</v>
      </c>
      <c r="E20" s="41">
        <f>E18*1000*E5*Inputs!$B$26*E7*Inputs!$B$20*86400/1000000*E19*E53</f>
        <v>5337.138828</v>
      </c>
      <c r="F20" s="41">
        <f>F18*1000*F5*Inputs!$B$26*F7*Inputs!$B$20*86400/1000000*F19*F53</f>
        <v>10093.19618</v>
      </c>
      <c r="G20" s="41">
        <f>G18*1000*G5*Inputs!$B$26*G7*Inputs!$B$20*86400/1000000*G19*G53</f>
        <v>18446.13039</v>
      </c>
      <c r="H20" s="41">
        <f>H18*1000*H5*Inputs!$B$26*H7*Inputs!$B$20*86400/1000000*H19*H53</f>
        <v>31831.36118</v>
      </c>
      <c r="I20" s="41">
        <f>I18*1000*I5*Inputs!$B$26*I7*Inputs!$B$20*86400/1000000*I19*I53</f>
        <v>51970.42205</v>
      </c>
      <c r="J20" s="41">
        <f>J18*1000*J5*Inputs!$B$26*J7*Inputs!$B$20*86400/1000000*J19*J53</f>
        <v>79926.75081</v>
      </c>
      <c r="K20" s="41">
        <f>K18*1000*K5*Inputs!$B$26*K7*Inputs!$B$20*86400/1000000*K19*K53</f>
        <v>116390.4003</v>
      </c>
      <c r="L20" s="41">
        <f>L18*1000*L5*Inputs!$B$26*L7*Inputs!$B$20*86400/1000000*L19*L53</f>
        <v>167120.5753</v>
      </c>
    </row>
    <row r="21" ht="15.75" customHeight="1">
      <c r="A21" s="6" t="s">
        <v>262</v>
      </c>
      <c r="B21" s="8"/>
      <c r="C21" s="8"/>
      <c r="D21" s="8"/>
      <c r="E21" s="8"/>
      <c r="F21" s="8"/>
      <c r="G21" s="8"/>
      <c r="H21" s="8"/>
      <c r="I21" s="8"/>
      <c r="J21" s="8"/>
      <c r="K21" s="8"/>
      <c r="L21" s="8"/>
    </row>
    <row r="22" ht="15.75" customHeight="1">
      <c r="A22" s="12" t="s">
        <v>256</v>
      </c>
      <c r="B22" s="37">
        <v>0.0</v>
      </c>
      <c r="C22" s="37">
        <f>Inputs!$D$51*(1-IF(Inputs!$B$11=1,Inputs!$B$47,0))</f>
        <v>15</v>
      </c>
      <c r="D22" s="37">
        <f>C22*(1+Inputs!$D$52)</f>
        <v>21</v>
      </c>
      <c r="E22" s="37">
        <f>D22*(1+Inputs!$D$52)</f>
        <v>29.4</v>
      </c>
      <c r="F22" s="37">
        <f>E22*(1+Inputs!$D$52)</f>
        <v>41.16</v>
      </c>
      <c r="G22" s="37">
        <f>F22*(1+Inputs!$D$52)</f>
        <v>57.624</v>
      </c>
      <c r="H22" s="37">
        <f>G22*(1+Inputs!$B$31)</f>
        <v>60.5052</v>
      </c>
      <c r="I22" s="37">
        <f>H22*(1+Inputs!$B$31)</f>
        <v>63.53046</v>
      </c>
      <c r="J22" s="37">
        <f>I22*(1+Inputs!$B$31)</f>
        <v>66.706983</v>
      </c>
      <c r="K22" s="37">
        <f>J22*(1+Inputs!$B$31)</f>
        <v>70.04233215</v>
      </c>
      <c r="L22" s="37">
        <f>K22*(1+Inputs!$B$31)</f>
        <v>73.54444876</v>
      </c>
    </row>
    <row r="23" ht="15.75" customHeight="1">
      <c r="A23" s="12" t="s">
        <v>257</v>
      </c>
      <c r="B23" s="37">
        <f>Inputs!$B$19</f>
        <v>15</v>
      </c>
      <c r="C23" s="37">
        <f t="shared" ref="C23:L23" si="3">B23+C22</f>
        <v>30</v>
      </c>
      <c r="D23" s="37">
        <f t="shared" si="3"/>
        <v>51</v>
      </c>
      <c r="E23" s="37">
        <f t="shared" si="3"/>
        <v>80.4</v>
      </c>
      <c r="F23" s="37">
        <f t="shared" si="3"/>
        <v>121.56</v>
      </c>
      <c r="G23" s="37">
        <f t="shared" si="3"/>
        <v>179.184</v>
      </c>
      <c r="H23" s="37">
        <f t="shared" si="3"/>
        <v>239.6892</v>
      </c>
      <c r="I23" s="37">
        <f t="shared" si="3"/>
        <v>303.21966</v>
      </c>
      <c r="J23" s="37">
        <f t="shared" si="3"/>
        <v>369.926643</v>
      </c>
      <c r="K23" s="37">
        <f t="shared" si="3"/>
        <v>439.9689752</v>
      </c>
      <c r="L23" s="37">
        <f t="shared" si="3"/>
        <v>513.5134239</v>
      </c>
    </row>
    <row r="24" ht="15.75" customHeight="1">
      <c r="A24" s="12" t="s">
        <v>258</v>
      </c>
      <c r="B24" s="38">
        <v>1.0</v>
      </c>
      <c r="C24" s="38">
        <f>B24*MAX(Inputs!$D$55,Inputs!$D$53*Inputs!$D$54^0)/Inputs!$B$30</f>
        <v>2.75</v>
      </c>
      <c r="D24" s="38">
        <f>C24*MAX(Inputs!$D$55,Inputs!$D$53*Inputs!$D$54^1)/Inputs!$B$30</f>
        <v>6.428125</v>
      </c>
      <c r="E24" s="38">
        <f>D24*MAX(Inputs!$D$55,Inputs!$D$53*Inputs!$D$54^2)/Inputs!$B$30</f>
        <v>12.77188086</v>
      </c>
      <c r="F24" s="38">
        <f>E24*MAX(Inputs!$D$55,Inputs!$D$53*Inputs!$D$54^3)/Inputs!$B$30</f>
        <v>21.56971117</v>
      </c>
      <c r="G24" s="38">
        <f>F24*MAX(Inputs!$D$55,Inputs!$D$53*Inputs!$D$54^4)/Inputs!$B$30</f>
        <v>35.94951861</v>
      </c>
      <c r="H24" s="38">
        <f>G24*MAX(Inputs!$D$55,Inputs!$D$53*Inputs!$D$54^5)/Inputs!$B$30</f>
        <v>59.91586435</v>
      </c>
      <c r="I24" s="38">
        <f>H24*MAX(Inputs!$D$55,Inputs!$D$53*Inputs!$D$54^6)/Inputs!$B$30</f>
        <v>99.85977391</v>
      </c>
      <c r="J24" s="38">
        <f>I24*MAX(Inputs!$D$55,Inputs!$D$53*Inputs!$D$54^7)/Inputs!$B$30</f>
        <v>166.4329565</v>
      </c>
      <c r="K24" s="38">
        <f>J24*MAX(Inputs!$D$55,Inputs!$D$53*Inputs!$D$54^8)/Inputs!$B$30</f>
        <v>277.3882609</v>
      </c>
      <c r="L24" s="38">
        <f>K24*MAX(Inputs!$D$55,Inputs!$D$53*Inputs!$D$54^9)/Inputs!$B$30</f>
        <v>462.3137681</v>
      </c>
    </row>
    <row r="25" ht="15.75" customHeight="1">
      <c r="A25" s="40" t="s">
        <v>263</v>
      </c>
      <c r="B25" s="41">
        <f>B23*1000*B5*Inputs!$B$26*B7*Inputs!$B$20*86400/1000000*B24*B54</f>
        <v>311.04</v>
      </c>
      <c r="C25" s="41">
        <f>C23*1000*C5*Inputs!$B$26*C7*Inputs!$B$20*86400/1000000*C24*C54</f>
        <v>1074.324384</v>
      </c>
      <c r="D25" s="41">
        <f>D23*1000*D5*Inputs!$B$26*D7*Inputs!$B$20*86400/1000000*D24*D54</f>
        <v>8599.436604</v>
      </c>
      <c r="E25" s="41">
        <f>E23*1000*E5*Inputs!$B$26*E7*Inputs!$B$20*86400/1000000*E24*E54</f>
        <v>29996.44727</v>
      </c>
      <c r="F25" s="41">
        <f>F23*1000*F5*Inputs!$B$26*F7*Inputs!$B$20*86400/1000000*F24*F54</f>
        <v>84817.33128</v>
      </c>
      <c r="G25" s="41">
        <f>G23*1000*G5*Inputs!$B$26*G7*Inputs!$B$20*86400/1000000*G24*G54</f>
        <v>229577.8592</v>
      </c>
      <c r="H25" s="41">
        <f>H23*1000*H5*Inputs!$B$26*H7*Inputs!$B$20*86400/1000000*H24*H54</f>
        <v>561340.8313</v>
      </c>
      <c r="I25" s="41">
        <f>I23*1000*I5*Inputs!$B$26*I7*Inputs!$B$20*86400/1000000*I24*I54</f>
        <v>1271446.078</v>
      </c>
      <c r="J25" s="41">
        <f>J23*1000*J5*Inputs!$B$26*J7*Inputs!$B$20*86400/1000000*J24*J54</f>
        <v>2681014.843</v>
      </c>
      <c r="K25" s="41">
        <f>K23*1000*K5*Inputs!$B$26*K7*Inputs!$B$20*86400/1000000*K24*K54</f>
        <v>5314402.081</v>
      </c>
      <c r="L25" s="41">
        <f>L23*1000*L5*Inputs!$B$26*L7*Inputs!$B$20*86400/1000000*L24*L54</f>
        <v>10337913.82</v>
      </c>
    </row>
    <row r="26" ht="15.75" customHeight="1">
      <c r="A26" s="6" t="s">
        <v>264</v>
      </c>
      <c r="B26" s="8"/>
      <c r="C26" s="8"/>
      <c r="D26" s="8"/>
      <c r="E26" s="8"/>
      <c r="F26" s="8"/>
      <c r="G26" s="8"/>
      <c r="H26" s="8"/>
      <c r="I26" s="8"/>
      <c r="J26" s="8"/>
      <c r="K26" s="8"/>
      <c r="L26" s="8"/>
    </row>
    <row r="27" ht="15.75" customHeight="1">
      <c r="A27" s="12" t="s">
        <v>265</v>
      </c>
      <c r="B27" s="42">
        <f>Inputs!$B$16*Inputs!$B$15</f>
        <v>187.5</v>
      </c>
      <c r="C27" s="42">
        <f>B27*(1+Inputs!$B$60/(1+Inputs!$C$60*MAX(0,1-Inputs!$D$60)))*C10/B10</f>
        <v>297.2578348</v>
      </c>
      <c r="D27" s="42">
        <f>C27*(1+Inputs!$B$60/(1+Inputs!$C$60*MAX(0,2-Inputs!$D$60)))*D10/C10</f>
        <v>396.4131499</v>
      </c>
      <c r="E27" s="42">
        <f>D27*(1+Inputs!$B$60/(1+Inputs!$C$60*MAX(0,3-Inputs!$D$60)))*E10/D10</f>
        <v>481.8193959</v>
      </c>
      <c r="F27" s="42">
        <f>E27*(1+Inputs!$B$60/(1+Inputs!$C$60*MAX(0,4-Inputs!$D$60)))*F10/E10</f>
        <v>551.3677313</v>
      </c>
      <c r="G27" s="42">
        <f>F27*(1+Inputs!$B$60/(1+Inputs!$C$60*MAX(0,5-Inputs!$D$60)))*G10/F10</f>
        <v>603.4973508</v>
      </c>
      <c r="H27" s="42">
        <f>G27*(1+Inputs!$B$60/(1+Inputs!$C$60*MAX(0,6-Inputs!$D$60)))*H10/G10</f>
        <v>636.9793493</v>
      </c>
      <c r="I27" s="42">
        <f>H27*(1+Inputs!$B$60/(1+Inputs!$C$60*MAX(0,7-Inputs!$D$60)))*I10/H10</f>
        <v>650.8046413</v>
      </c>
      <c r="J27" s="42">
        <f>I27*(1+Inputs!$B$60/(1+Inputs!$C$60*MAX(0,8-Inputs!$D$60)))*J10/I10</f>
        <v>644.1192173</v>
      </c>
      <c r="K27" s="42">
        <f>J27*(1+Inputs!$B$60/(1+Inputs!$C$60*MAX(0,9-Inputs!$D$60)))*K10/J10</f>
        <v>721.8577435</v>
      </c>
      <c r="L27" s="42">
        <f>K27*(1+Inputs!$B$60/(1+Inputs!$C$60*MAX(0,10-Inputs!$D$60)))*L10/K10</f>
        <v>800.8109342</v>
      </c>
    </row>
    <row r="28" ht="15.75" customHeight="1">
      <c r="A28" s="12" t="s">
        <v>266</v>
      </c>
      <c r="B28" s="42">
        <f>Inputs!$B$16*Inputs!$B$15</f>
        <v>187.5</v>
      </c>
      <c r="C28" s="42">
        <f>B28*(1+Inputs!$B$61/(1+Inputs!$C$61*MAX(0,1-Inputs!$D$61)))*C10/B10</f>
        <v>349.7150997</v>
      </c>
      <c r="D28" s="42">
        <f>C28*(1+Inputs!$B$61/(1+Inputs!$C$61*MAX(0,2-Inputs!$D$61)))*D10/C10</f>
        <v>573.9918913</v>
      </c>
      <c r="E28" s="42">
        <f>D28*(1+Inputs!$B$61/(1+Inputs!$C$61*MAX(0,3-Inputs!$D$61)))*E10/D10</f>
        <v>860.042735</v>
      </c>
      <c r="F28" s="42">
        <f>E28*(1+Inputs!$B$61/(1+Inputs!$C$61*MAX(0,4-Inputs!$D$61)))*F10/E10</f>
        <v>1201.742671</v>
      </c>
      <c r="G28" s="42">
        <f>F28*(1+Inputs!$B$61/(1+Inputs!$C$61*MAX(0,5-Inputs!$D$61)))*G10/F10</f>
        <v>1586.601508</v>
      </c>
      <c r="H28" s="42">
        <f>G28*(1+Inputs!$B$61/(1+Inputs!$C$61*MAX(0,6-Inputs!$D$61)))*H10/G10</f>
        <v>1995.299145</v>
      </c>
      <c r="I28" s="42">
        <f>H28*(1+Inputs!$B$61/(1+Inputs!$C$61*MAX(0,7-Inputs!$D$61)))*I10/H10</f>
        <v>2401.269101</v>
      </c>
      <c r="J28" s="42">
        <f>I28*(1+Inputs!$B$61/(1+Inputs!$C$61*MAX(0,8-Inputs!$D$61)))*J10/I10</f>
        <v>2770.320032</v>
      </c>
      <c r="K28" s="42">
        <f>J28*(1+Inputs!$B$61/(1+Inputs!$C$61*MAX(0,9-Inputs!$D$61)))*K10/J10</f>
        <v>3585.120042</v>
      </c>
      <c r="L28" s="42">
        <f>K28*(1+Inputs!$B$61/(1+Inputs!$C$61*MAX(0,10-Inputs!$D$61)))*L10/K10</f>
        <v>4554.071405</v>
      </c>
    </row>
    <row r="29" ht="15.75" customHeight="1">
      <c r="A29" s="12" t="s">
        <v>267</v>
      </c>
      <c r="B29" s="42">
        <f>Inputs!$B$16*Inputs!$B$15</f>
        <v>187.5</v>
      </c>
      <c r="C29" s="42">
        <f>B29*(1+Inputs!$B$62/(1+Inputs!$C$62*MAX(0,1-Inputs!$D$62)))*C10/B10</f>
        <v>472.1153846</v>
      </c>
      <c r="D29" s="42">
        <f>C29*(1+Inputs!$B$62/(1+Inputs!$C$62*MAX(0,2-Inputs!$D$62)))*D10/C10</f>
        <v>903.3353365</v>
      </c>
      <c r="E29" s="42">
        <f>D29*(1+Inputs!$B$62/(1+Inputs!$C$62*MAX(0,3-Inputs!$D$62)))*E10/D10</f>
        <v>1476.5625</v>
      </c>
      <c r="F29" s="42">
        <f>E29*(1+Inputs!$B$62/(1+Inputs!$C$62*MAX(0,4-Inputs!$D$62)))*F10/E10</f>
        <v>2172.467913</v>
      </c>
      <c r="G29" s="42">
        <f>F29*(1+Inputs!$B$62/(1+Inputs!$C$62*MAX(0,5-Inputs!$D$62)))*G10/F10</f>
        <v>2957.833426</v>
      </c>
      <c r="H29" s="42">
        <f>G29*(1+Inputs!$B$62/(1+Inputs!$C$62*MAX(0,6-Inputs!$D$62)))*H10/G10</f>
        <v>3786.175101</v>
      </c>
      <c r="I29" s="42">
        <f>H29*(1+Inputs!$B$62/(1+Inputs!$C$62*MAX(0,7-Inputs!$D$62)))*I10/H10</f>
        <v>4598.229715</v>
      </c>
      <c r="J29" s="42">
        <f>I29*(1+Inputs!$B$62/(1+Inputs!$C$62*MAX(0,8-Inputs!$D$62)))*J10/I10</f>
        <v>5322.349108</v>
      </c>
      <c r="K29" s="42">
        <f>J29*(1+Inputs!$B$62/(1+Inputs!$C$62*MAX(0,9-Inputs!$D$62)))*K10/J10</f>
        <v>6882.347985</v>
      </c>
      <c r="L29" s="42">
        <f>K29*(1+Inputs!$B$62/(1+Inputs!$C$62*MAX(0,10-Inputs!$D$62)))*L10/K10</f>
        <v>8710.471668</v>
      </c>
    </row>
    <row r="30" ht="15.75" customHeight="1">
      <c r="A30" s="12" t="s">
        <v>268</v>
      </c>
      <c r="B30" s="42">
        <f>Inputs!$B$16*Inputs!$B$15</f>
        <v>187.5</v>
      </c>
      <c r="C30" s="42">
        <f>B30*(1+Inputs!$B$63/(1+Inputs!$C$63*MAX(0,1-Inputs!$D$63)))*C10/B10</f>
        <v>699.4301994</v>
      </c>
      <c r="D30" s="42">
        <f>C30*(1+Inputs!$B$63/(1+Inputs!$C$63*MAX(0,2-Inputs!$D$63)))*D10/C10</f>
        <v>1793.908162</v>
      </c>
      <c r="E30" s="42">
        <f>D30*(1+Inputs!$B$63/(1+Inputs!$C$63*MAX(0,3-Inputs!$D$63)))*E10/D10</f>
        <v>3721.719457</v>
      </c>
      <c r="F30" s="42">
        <f>E30*(1+Inputs!$B$63/(1+Inputs!$C$63*MAX(0,4-Inputs!$D$63)))*F10/E10</f>
        <v>6704.38318</v>
      </c>
      <c r="G30" s="42">
        <f>F30*(1+Inputs!$B$63/(1+Inputs!$C$63*MAX(0,5-Inputs!$D$63)))*G10/F10</f>
        <v>10889.63258</v>
      </c>
      <c r="H30" s="42">
        <f>G30*(1+Inputs!$B$63/(1+Inputs!$C$63*MAX(0,6-Inputs!$D$63)))*H10/G10</f>
        <v>16303.24648</v>
      </c>
      <c r="I30" s="42">
        <f>H30*(1+Inputs!$B$63/(1+Inputs!$C$63*MAX(0,7-Inputs!$D$63)))*I10/H10</f>
        <v>22797.74303</v>
      </c>
      <c r="J30" s="42">
        <f>I30*(1+Inputs!$B$63/(1+Inputs!$C$63*MAX(0,8-Inputs!$D$63)))*J10/I10</f>
        <v>29998.31051</v>
      </c>
      <c r="K30" s="42">
        <f>J30*(1+Inputs!$B$63/(1+Inputs!$C$63*MAX(0,9-Inputs!$D$63)))*K10/J10</f>
        <v>43633.90619</v>
      </c>
      <c r="L30" s="42">
        <f>K30*(1+Inputs!$B$63/(1+Inputs!$C$63*MAX(0,10-Inputs!$D$63)))*L10/K10</f>
        <v>61565.64846</v>
      </c>
    </row>
    <row r="31" ht="15.75" customHeight="1">
      <c r="A31" s="12" t="s">
        <v>269</v>
      </c>
      <c r="B31" s="42">
        <f>Inputs!$B$16*Inputs!$B$15</f>
        <v>187.5</v>
      </c>
      <c r="C31" s="42">
        <f>B31*(1+Inputs!$B$64/(1+Inputs!$C$64*MAX(0,1-Inputs!$D$64)))*C10/B10</f>
        <v>874.2877493</v>
      </c>
      <c r="D31" s="42">
        <f>C31*(1+Inputs!$B$64/(1+Inputs!$C$64*MAX(0,2-Inputs!$D$64)))*D10/C10</f>
        <v>2719.488436</v>
      </c>
      <c r="E31" s="42">
        <f>D31*(1+Inputs!$B$64/(1+Inputs!$C$64*MAX(0,3-Inputs!$D$64)))*E10/D10</f>
        <v>6686.777275</v>
      </c>
      <c r="F31" s="42">
        <f>E31*(1+Inputs!$B$64/(1+Inputs!$C$64*MAX(0,4-Inputs!$D$64)))*F10/E10</f>
        <v>14020.40524</v>
      </c>
      <c r="G31" s="42">
        <f>F31*(1+Inputs!$B$64/(1+Inputs!$C$64*MAX(0,5-Inputs!$D$64)))*G10/F10</f>
        <v>26121.65296</v>
      </c>
      <c r="H31" s="42">
        <f>G31*(1+Inputs!$B$64/(1+Inputs!$C$64*MAX(0,6-Inputs!$D$64)))*H10/G10</f>
        <v>44321.98327</v>
      </c>
      <c r="I31" s="42">
        <f>H31*(1+Inputs!$B$64/(1+Inputs!$C$64*MAX(0,7-Inputs!$D$64)))*I10/H10</f>
        <v>69536.19459</v>
      </c>
      <c r="J31" s="42">
        <f>I31*(1+Inputs!$B$64/(1+Inputs!$C$64*MAX(0,8-Inputs!$D$64)))*J10/I10</f>
        <v>101779.6727</v>
      </c>
      <c r="K31" s="42">
        <f>J31*(1+Inputs!$B$64/(1+Inputs!$C$64*MAX(0,9-Inputs!$D$64)))*K10/J10</f>
        <v>163464.3228</v>
      </c>
      <c r="L31" s="42">
        <f>K31*(1+Inputs!$B$64/(1+Inputs!$C$64*MAX(0,10-Inputs!$D$64)))*L10/K10</f>
        <v>253033.8148</v>
      </c>
    </row>
    <row r="32" ht="15.75" customHeight="1">
      <c r="A32" s="12" t="s">
        <v>270</v>
      </c>
      <c r="B32" s="42">
        <f>Inputs!$B$16*Inputs!$B$15</f>
        <v>187.5</v>
      </c>
      <c r="C32" s="42">
        <f>B32*(1+Inputs!$B$65/(1+Inputs!$C$65*MAX(0,1-Inputs!$D$65)))*C10/B10</f>
        <v>1224.002849</v>
      </c>
      <c r="D32" s="42">
        <f>C32*(1+Inputs!$B$65/(1+Inputs!$C$65*MAX(0,2-Inputs!$D$65)))*D10/C10</f>
        <v>4542.022792</v>
      </c>
      <c r="E32" s="42">
        <f>D32*(1+Inputs!$B$65/(1+Inputs!$C$65*MAX(0,3-Inputs!$D$65)))*E10/D10</f>
        <v>12564.10256</v>
      </c>
      <c r="F32" s="42">
        <f>E32*(1+Inputs!$B$65/(1+Inputs!$C$65*MAX(0,4-Inputs!$D$65)))*F10/E10</f>
        <v>28755.34188</v>
      </c>
      <c r="G32" s="42">
        <f>F32*(1+Inputs!$B$65/(1+Inputs!$C$65*MAX(0,5-Inputs!$D$65)))*G10/F10</f>
        <v>57420.94017</v>
      </c>
      <c r="H32" s="42">
        <f>G32*(1+Inputs!$B$65/(1+Inputs!$C$65*MAX(0,6-Inputs!$D$65)))*H10/G10</f>
        <v>103160.2564</v>
      </c>
      <c r="I32" s="42">
        <f>H32*(1+Inputs!$B$65/(1+Inputs!$C$65*MAX(0,7-Inputs!$D$65)))*I10/H10</f>
        <v>169888.8889</v>
      </c>
      <c r="J32" s="42">
        <f>I32*(1+Inputs!$B$65/(1+Inputs!$C$65*MAX(0,8-Inputs!$D$65)))*J10/I10</f>
        <v>259340.2778</v>
      </c>
      <c r="K32" s="42">
        <f>J32*(1+Inputs!$B$65/(1+Inputs!$C$65*MAX(0,9-Inputs!$D$65)))*K10/J10</f>
        <v>432233.7963</v>
      </c>
      <c r="L32" s="42">
        <f>K32*(1+Inputs!$B$65/(1+Inputs!$C$65*MAX(0,10-Inputs!$D$65)))*L10/K10</f>
        <v>691574.0741</v>
      </c>
    </row>
    <row r="33" ht="15.75" customHeight="1">
      <c r="A33" s="12" t="s">
        <v>271</v>
      </c>
      <c r="B33" s="42">
        <f>Inputs!$B$16*Inputs!$B$15</f>
        <v>187.5</v>
      </c>
      <c r="C33" s="42">
        <f>B33*(1+Inputs!$B$66/(1+Inputs!$C$66*MAX(0,1-Inputs!$D$66)))*C10/B10</f>
        <v>699.4301994</v>
      </c>
      <c r="D33" s="42">
        <f>C33*(1+Inputs!$B$66/(1+Inputs!$C$66*MAX(0,2-Inputs!$D$66)))*D10/C10</f>
        <v>2595.441595</v>
      </c>
      <c r="E33" s="42">
        <f>D33*(1+Inputs!$B$66/(1+Inputs!$C$66*MAX(0,3-Inputs!$D$66)))*E10/D10</f>
        <v>9572.649573</v>
      </c>
      <c r="F33" s="42">
        <f>E33*(1+Inputs!$B$66/(1+Inputs!$C$66*MAX(0,4-Inputs!$D$66)))*F10/E10</f>
        <v>24228.59058</v>
      </c>
      <c r="G33" s="42">
        <f>F33*(1+Inputs!$B$66/(1+Inputs!$C$66*MAX(0,5-Inputs!$D$66)))*G10/F10</f>
        <v>49481.1463</v>
      </c>
      <c r="H33" s="42">
        <f>G33*(1+Inputs!$B$66/(1+Inputs!$C$66*MAX(0,6-Inputs!$D$66)))*H10/G10</f>
        <v>87462.12232</v>
      </c>
      <c r="I33" s="42">
        <f>H33*(1+Inputs!$B$66/(1+Inputs!$C$66*MAX(0,7-Inputs!$D$66)))*I10/H10</f>
        <v>138788.2112</v>
      </c>
      <c r="J33" s="42">
        <f>I33*(1+Inputs!$B$66/(1+Inputs!$C$66*MAX(0,8-Inputs!$D$66)))*J10/I10</f>
        <v>201775.427</v>
      </c>
      <c r="K33" s="42">
        <f>J33*(1+Inputs!$B$66/(1+Inputs!$C$66*MAX(0,9-Inputs!$D$66)))*K10/J10</f>
        <v>318184.3272</v>
      </c>
      <c r="L33" s="42">
        <f>K33*(1+Inputs!$B$66/(1+Inputs!$C$66*MAX(0,10-Inputs!$D$66)))*L10/K10</f>
        <v>479972.9681</v>
      </c>
    </row>
    <row r="34" ht="15.75" customHeight="1">
      <c r="A34" s="12" t="s">
        <v>272</v>
      </c>
      <c r="B34" s="42">
        <f>Inputs!$B$16*Inputs!$B$15</f>
        <v>187.5</v>
      </c>
      <c r="C34" s="42">
        <f>B34*(1+Inputs!$B$67/(1+Inputs!$C$67*MAX(0,1-Inputs!$D$67)))*C10/B10</f>
        <v>131.1431624</v>
      </c>
      <c r="D34" s="42">
        <f>C34*(1+Inputs!$B$67/(1+Inputs!$C$67*MAX(0,2-Inputs!$D$67)))*D10/C10</f>
        <v>114.057492</v>
      </c>
      <c r="E34" s="42">
        <f>D34*(1+Inputs!$B$67/(1+Inputs!$C$67*MAX(0,3-Inputs!$D$67)))*E10/D10</f>
        <v>101.4122596</v>
      </c>
      <c r="F34" s="42">
        <f>E34*(1+Inputs!$B$67/(1+Inputs!$C$67*MAX(0,4-Inputs!$D$67)))*F10/E10</f>
        <v>90.51949637</v>
      </c>
      <c r="G34" s="42">
        <f>F34*(1+Inputs!$B$67/(1+Inputs!$C$67*MAX(0,5-Inputs!$D$67)))*G10/F10</f>
        <v>80.5820004</v>
      </c>
      <c r="H34" s="42">
        <f>G34*(1+Inputs!$B$67/(1+Inputs!$C$67*MAX(0,6-Inputs!$D$67)))*H10/G10</f>
        <v>71.25424422</v>
      </c>
      <c r="I34" s="42">
        <f>H34*(1+Inputs!$B$67/(1+Inputs!$C$67*MAX(0,7-Inputs!$D$67)))*I10/H10</f>
        <v>62.35419256</v>
      </c>
      <c r="J34" s="42">
        <f>I34*(1+Inputs!$B$67/(1+Inputs!$C$67*MAX(0,8-Inputs!$D$67)))*J10/I10</f>
        <v>53.77360928</v>
      </c>
      <c r="K34" s="42">
        <f>J34*(1+Inputs!$B$67/(1+Inputs!$C$67*MAX(0,9-Inputs!$D$67)))*K10/J10</f>
        <v>53.23587319</v>
      </c>
      <c r="L34" s="42">
        <f>K34*(1+Inputs!$B$67/(1+Inputs!$C$67*MAX(0,10-Inputs!$D$67)))*L10/K10</f>
        <v>52.7605529</v>
      </c>
    </row>
    <row r="35" ht="15.75" customHeight="1">
      <c r="A35" s="6" t="s">
        <v>273</v>
      </c>
      <c r="B35" s="8"/>
      <c r="C35" s="8"/>
      <c r="D35" s="8"/>
      <c r="E35" s="8"/>
      <c r="F35" s="8"/>
      <c r="G35" s="8"/>
      <c r="H35" s="8"/>
      <c r="I35" s="8"/>
      <c r="J35" s="8"/>
      <c r="K35" s="8"/>
      <c r="L35" s="8"/>
    </row>
    <row r="36" ht="15.75" customHeight="1">
      <c r="A36" s="40" t="s">
        <v>274</v>
      </c>
      <c r="B36" s="41">
        <f>CHOOSE(Inputs!$B$7,B15,B20,B25)</f>
        <v>311.04</v>
      </c>
      <c r="C36" s="41">
        <f>CHOOSE(Inputs!$B$7,C15,C20,C25)</f>
        <v>1074.324384</v>
      </c>
      <c r="D36" s="41">
        <f>CHOOSE(Inputs!$B$7,D15,D20,D25)</f>
        <v>2683.137932</v>
      </c>
      <c r="E36" s="41">
        <f>CHOOSE(Inputs!$B$7,E15,E20,E25)</f>
        <v>5337.138828</v>
      </c>
      <c r="F36" s="41">
        <f>CHOOSE(Inputs!$B$7,F15,F20,F25)</f>
        <v>10093.19618</v>
      </c>
      <c r="G36" s="41">
        <f>CHOOSE(Inputs!$B$7,G15,G20,G25)</f>
        <v>18446.13039</v>
      </c>
      <c r="H36" s="41">
        <f>CHOOSE(Inputs!$B$7,H15,H20,H25)</f>
        <v>31831.36118</v>
      </c>
      <c r="I36" s="41">
        <f>CHOOSE(Inputs!$B$7,I15,I20,I25)</f>
        <v>51970.42205</v>
      </c>
      <c r="J36" s="41">
        <f>CHOOSE(Inputs!$B$7,J15,J20,J25)</f>
        <v>79926.75081</v>
      </c>
      <c r="K36" s="41">
        <f>CHOOSE(Inputs!$B$7,K15,K20,K25)</f>
        <v>116390.4003</v>
      </c>
      <c r="L36" s="41">
        <f>CHOOSE(Inputs!$B$7,L15,L20,L25)</f>
        <v>167120.5753</v>
      </c>
    </row>
    <row r="37" ht="15.75" customHeight="1">
      <c r="A37" s="6" t="s">
        <v>275</v>
      </c>
      <c r="B37" s="8"/>
      <c r="C37" s="8"/>
      <c r="D37" s="8"/>
      <c r="E37" s="8"/>
      <c r="F37" s="8"/>
      <c r="G37" s="8"/>
      <c r="H37" s="8"/>
      <c r="I37" s="8"/>
      <c r="J37" s="8"/>
      <c r="K37" s="8"/>
      <c r="L37" s="8"/>
    </row>
    <row r="38" ht="15.75" customHeight="1">
      <c r="A38" s="12" t="s">
        <v>276</v>
      </c>
      <c r="B38" s="36">
        <f t="shared" ref="B38:L38" si="4">B27/B36</f>
        <v>0.602816358</v>
      </c>
      <c r="C38" s="36">
        <f t="shared" si="4"/>
        <v>0.276692812</v>
      </c>
      <c r="D38" s="36">
        <f t="shared" si="4"/>
        <v>0.1477423673</v>
      </c>
      <c r="E38" s="36">
        <f t="shared" si="4"/>
        <v>0.09027672156</v>
      </c>
      <c r="F38" s="36">
        <f t="shared" si="4"/>
        <v>0.05462766414</v>
      </c>
      <c r="G38" s="36">
        <f t="shared" si="4"/>
        <v>0.03271674536</v>
      </c>
      <c r="H38" s="36">
        <f t="shared" si="4"/>
        <v>0.02001106223</v>
      </c>
      <c r="I38" s="36">
        <f t="shared" si="4"/>
        <v>0.01252259681</v>
      </c>
      <c r="J38" s="36">
        <f t="shared" si="4"/>
        <v>0.008058869037</v>
      </c>
      <c r="K38" s="36">
        <f t="shared" si="4"/>
        <v>0.006202038497</v>
      </c>
      <c r="L38" s="36">
        <f t="shared" si="4"/>
        <v>0.004791815328</v>
      </c>
    </row>
    <row r="39" ht="15.75" customHeight="1">
      <c r="A39" s="12" t="s">
        <v>277</v>
      </c>
      <c r="B39" s="36">
        <f t="shared" ref="B39:L39" si="5">B28/B36</f>
        <v>0.602816358</v>
      </c>
      <c r="C39" s="36">
        <f t="shared" si="5"/>
        <v>0.3255209552</v>
      </c>
      <c r="D39" s="36">
        <f t="shared" si="5"/>
        <v>0.2139255997</v>
      </c>
      <c r="E39" s="36">
        <f t="shared" si="5"/>
        <v>0.1611430324</v>
      </c>
      <c r="F39" s="36">
        <f t="shared" si="5"/>
        <v>0.1190646302</v>
      </c>
      <c r="G39" s="36">
        <f t="shared" si="5"/>
        <v>0.08601270153</v>
      </c>
      <c r="H39" s="36">
        <f t="shared" si="5"/>
        <v>0.0626834377</v>
      </c>
      <c r="I39" s="36">
        <f t="shared" si="5"/>
        <v>0.0462045334</v>
      </c>
      <c r="J39" s="36">
        <f t="shared" si="5"/>
        <v>0.03466073629</v>
      </c>
      <c r="K39" s="36">
        <f t="shared" si="5"/>
        <v>0.03080254069</v>
      </c>
      <c r="L39" s="36">
        <f t="shared" si="5"/>
        <v>0.02725021379</v>
      </c>
    </row>
    <row r="40" ht="15.75" customHeight="1">
      <c r="A40" s="12" t="s">
        <v>278</v>
      </c>
      <c r="B40" s="36">
        <f t="shared" ref="B40:L40" si="6">B29/B36</f>
        <v>0.602816358</v>
      </c>
      <c r="C40" s="36">
        <f t="shared" si="6"/>
        <v>0.4394532896</v>
      </c>
      <c r="D40" s="36">
        <f t="shared" si="6"/>
        <v>0.3366712258</v>
      </c>
      <c r="E40" s="36">
        <f t="shared" si="6"/>
        <v>0.2766580649</v>
      </c>
      <c r="F40" s="36">
        <f t="shared" si="6"/>
        <v>0.2152408289</v>
      </c>
      <c r="G40" s="36">
        <f t="shared" si="6"/>
        <v>0.1603498058</v>
      </c>
      <c r="H40" s="36">
        <f t="shared" si="6"/>
        <v>0.1189448067</v>
      </c>
      <c r="I40" s="36">
        <f t="shared" si="6"/>
        <v>0.0884778213</v>
      </c>
      <c r="J40" s="36">
        <f t="shared" si="6"/>
        <v>0.06659033495</v>
      </c>
      <c r="K40" s="36">
        <f t="shared" si="6"/>
        <v>0.05913157757</v>
      </c>
      <c r="L40" s="36">
        <f t="shared" si="6"/>
        <v>0.05212088131</v>
      </c>
    </row>
    <row r="41" ht="15.75" customHeight="1">
      <c r="A41" s="12" t="s">
        <v>279</v>
      </c>
      <c r="B41" s="36">
        <f t="shared" ref="B41:L41" si="7">B30/B36</f>
        <v>0.602816358</v>
      </c>
      <c r="C41" s="36">
        <f t="shared" si="7"/>
        <v>0.6510419105</v>
      </c>
      <c r="D41" s="36">
        <f t="shared" si="7"/>
        <v>0.6685858897</v>
      </c>
      <c r="E41" s="36">
        <f t="shared" si="7"/>
        <v>0.6973248359</v>
      </c>
      <c r="F41" s="36">
        <f t="shared" si="7"/>
        <v>0.6642477821</v>
      </c>
      <c r="G41" s="36">
        <f t="shared" si="7"/>
        <v>0.5903478046</v>
      </c>
      <c r="H41" s="36">
        <f t="shared" si="7"/>
        <v>0.5121755992</v>
      </c>
      <c r="I41" s="36">
        <f t="shared" si="7"/>
        <v>0.4386676523</v>
      </c>
      <c r="J41" s="36">
        <f t="shared" si="7"/>
        <v>0.3753225322</v>
      </c>
      <c r="K41" s="36">
        <f t="shared" si="7"/>
        <v>0.374892655</v>
      </c>
      <c r="L41" s="36">
        <f t="shared" si="7"/>
        <v>0.3683905968</v>
      </c>
    </row>
    <row r="42" ht="15.75" customHeight="1">
      <c r="A42" s="12" t="s">
        <v>280</v>
      </c>
      <c r="B42" s="36">
        <f t="shared" ref="B42:L42" si="8">B31/B36</f>
        <v>0.602816358</v>
      </c>
      <c r="C42" s="36">
        <f t="shared" si="8"/>
        <v>0.8138023881</v>
      </c>
      <c r="D42" s="36">
        <f t="shared" si="8"/>
        <v>1.013547758</v>
      </c>
      <c r="E42" s="36">
        <f t="shared" si="8"/>
        <v>1.252876774</v>
      </c>
      <c r="F42" s="36">
        <f t="shared" si="8"/>
        <v>1.389094691</v>
      </c>
      <c r="G42" s="36">
        <f t="shared" si="8"/>
        <v>1.416104755</v>
      </c>
      <c r="H42" s="36">
        <f t="shared" si="8"/>
        <v>1.392399873</v>
      </c>
      <c r="I42" s="36">
        <f t="shared" si="8"/>
        <v>1.337995572</v>
      </c>
      <c r="J42" s="36">
        <f t="shared" si="8"/>
        <v>1.273411864</v>
      </c>
      <c r="K42" s="36">
        <f t="shared" si="8"/>
        <v>1.404448497</v>
      </c>
      <c r="L42" s="36">
        <f t="shared" si="8"/>
        <v>1.514079367</v>
      </c>
    </row>
    <row r="43" ht="15.75" customHeight="1">
      <c r="A43" s="12" t="s">
        <v>281</v>
      </c>
      <c r="B43" s="36">
        <f t="shared" ref="B43:L43" si="9">B32/B36</f>
        <v>0.602816358</v>
      </c>
      <c r="C43" s="36">
        <f t="shared" si="9"/>
        <v>1.139323343</v>
      </c>
      <c r="D43" s="36">
        <f t="shared" si="9"/>
        <v>1.692802572</v>
      </c>
      <c r="E43" s="36">
        <f t="shared" si="9"/>
        <v>2.354089517</v>
      </c>
      <c r="F43" s="36">
        <f t="shared" si="9"/>
        <v>2.848982756</v>
      </c>
      <c r="G43" s="36">
        <f t="shared" si="9"/>
        <v>3.112898963</v>
      </c>
      <c r="H43" s="36">
        <f t="shared" si="9"/>
        <v>3.240837105</v>
      </c>
      <c r="I43" s="36">
        <f t="shared" si="9"/>
        <v>3.26895342</v>
      </c>
      <c r="J43" s="36">
        <f t="shared" si="9"/>
        <v>3.24472439</v>
      </c>
      <c r="K43" s="36">
        <f t="shared" si="9"/>
        <v>3.713655036</v>
      </c>
      <c r="L43" s="36">
        <f t="shared" si="9"/>
        <v>4.138174327</v>
      </c>
    </row>
    <row r="44" ht="15.75" customHeight="1">
      <c r="A44" s="12" t="s">
        <v>282</v>
      </c>
      <c r="B44" s="36">
        <f t="shared" ref="B44:L44" si="10">B33/B36</f>
        <v>0.602816358</v>
      </c>
      <c r="C44" s="36">
        <f t="shared" si="10"/>
        <v>0.6510419105</v>
      </c>
      <c r="D44" s="36">
        <f t="shared" si="10"/>
        <v>0.9673157554</v>
      </c>
      <c r="E44" s="36">
        <f t="shared" si="10"/>
        <v>1.793592013</v>
      </c>
      <c r="F44" s="36">
        <f t="shared" si="10"/>
        <v>2.400487431</v>
      </c>
      <c r="G44" s="36">
        <f t="shared" si="10"/>
        <v>2.682467556</v>
      </c>
      <c r="H44" s="36">
        <f t="shared" si="10"/>
        <v>2.74767145</v>
      </c>
      <c r="I44" s="36">
        <f t="shared" si="10"/>
        <v>2.670523073</v>
      </c>
      <c r="J44" s="36">
        <f t="shared" si="10"/>
        <v>2.524504311</v>
      </c>
      <c r="K44" s="36">
        <f t="shared" si="10"/>
        <v>2.733767788</v>
      </c>
      <c r="L44" s="36">
        <f t="shared" si="10"/>
        <v>2.872016012</v>
      </c>
    </row>
    <row r="45" ht="15.75" customHeight="1">
      <c r="A45" s="12" t="s">
        <v>283</v>
      </c>
      <c r="B45" s="36">
        <f t="shared" ref="B45:L45" si="11">B34/B36</f>
        <v>0.602816358</v>
      </c>
      <c r="C45" s="36">
        <f t="shared" si="11"/>
        <v>0.1220703582</v>
      </c>
      <c r="D45" s="36">
        <f t="shared" si="11"/>
        <v>0.04250899316</v>
      </c>
      <c r="E45" s="36">
        <f t="shared" si="11"/>
        <v>0.01900124072</v>
      </c>
      <c r="F45" s="36">
        <f t="shared" si="11"/>
        <v>0.00896836787</v>
      </c>
      <c r="G45" s="36">
        <f t="shared" si="11"/>
        <v>0.004368504325</v>
      </c>
      <c r="H45" s="36">
        <f t="shared" si="11"/>
        <v>0.002238491902</v>
      </c>
      <c r="I45" s="36">
        <f t="shared" si="11"/>
        <v>0.001199801543</v>
      </c>
      <c r="J45" s="36">
        <f t="shared" si="11"/>
        <v>0.0006727861291</v>
      </c>
      <c r="K45" s="36">
        <f t="shared" si="11"/>
        <v>0.0004573905841</v>
      </c>
      <c r="L45" s="36">
        <f t="shared" si="11"/>
        <v>0.0003157035141</v>
      </c>
    </row>
    <row r="46" ht="15.75" customHeight="1"/>
    <row r="47" ht="15.75" customHeight="1">
      <c r="A47" s="6" t="s">
        <v>284</v>
      </c>
      <c r="B47" s="8"/>
      <c r="C47" s="8"/>
      <c r="D47" s="8"/>
      <c r="E47" s="8"/>
      <c r="F47" s="8"/>
      <c r="G47" s="8"/>
      <c r="H47" s="8"/>
      <c r="I47" s="8"/>
      <c r="J47" s="8"/>
      <c r="K47" s="8"/>
      <c r="L47" s="8"/>
    </row>
    <row r="48" ht="15.75" customHeight="1">
      <c r="A48" s="12" t="s">
        <v>285</v>
      </c>
      <c r="C48" s="33">
        <f>(C13*C14)/(B13*B14)</f>
        <v>1.691666667</v>
      </c>
    </row>
    <row r="49" ht="15.75" customHeight="1">
      <c r="A49" s="12" t="s">
        <v>286</v>
      </c>
      <c r="C49" s="33">
        <f>(C18*C19)/(B18*B19)</f>
        <v>3.06</v>
      </c>
    </row>
    <row r="50" ht="15.75" customHeight="1">
      <c r="A50" s="12" t="s">
        <v>287</v>
      </c>
      <c r="C50" s="33">
        <f>(C23*C24)/(B23*B24)</f>
        <v>5.5</v>
      </c>
    </row>
    <row r="51" ht="15.75" customHeight="1">
      <c r="A51" s="12" t="s">
        <v>288</v>
      </c>
      <c r="C51" s="33">
        <f>Inputs!$B$45*C49</f>
        <v>3.06</v>
      </c>
    </row>
    <row r="52" ht="15.75" customHeight="1">
      <c r="A52" s="12" t="s">
        <v>289</v>
      </c>
      <c r="B52" s="33">
        <v>1.0</v>
      </c>
      <c r="C52" s="33">
        <f>IF(Inputs!$B$10=1,MIN(1,$C$51/C48),1)</f>
        <v>1</v>
      </c>
      <c r="D52" s="33">
        <f>1-Inputs!$B$46*(1-C52)</f>
        <v>1</v>
      </c>
      <c r="E52" s="33">
        <v>1.0</v>
      </c>
      <c r="F52" s="33">
        <v>1.0</v>
      </c>
      <c r="G52" s="33">
        <v>1.0</v>
      </c>
      <c r="H52" s="33">
        <v>1.0</v>
      </c>
      <c r="I52" s="33">
        <v>1.0</v>
      </c>
      <c r="J52" s="33">
        <v>1.0</v>
      </c>
      <c r="K52" s="33">
        <v>1.0</v>
      </c>
      <c r="L52" s="33">
        <v>1.0</v>
      </c>
    </row>
    <row r="53" ht="15.75" customHeight="1">
      <c r="A53" s="12" t="s">
        <v>290</v>
      </c>
      <c r="B53" s="33">
        <v>1.0</v>
      </c>
      <c r="C53" s="33">
        <f>IF(Inputs!$B$10=1,MIN(1,$C$51/C49),1)</f>
        <v>1</v>
      </c>
      <c r="D53" s="33">
        <f>1-Inputs!$B$46*(1-C53)</f>
        <v>1</v>
      </c>
      <c r="E53" s="33">
        <v>1.0</v>
      </c>
      <c r="F53" s="33">
        <v>1.0</v>
      </c>
      <c r="G53" s="33">
        <v>1.0</v>
      </c>
      <c r="H53" s="33">
        <v>1.0</v>
      </c>
      <c r="I53" s="33">
        <v>1.0</v>
      </c>
      <c r="J53" s="33">
        <v>1.0</v>
      </c>
      <c r="K53" s="33">
        <v>1.0</v>
      </c>
      <c r="L53" s="33">
        <v>1.0</v>
      </c>
    </row>
    <row r="54" ht="15.75" customHeight="1">
      <c r="A54" s="12" t="s">
        <v>291</v>
      </c>
      <c r="B54" s="33">
        <v>1.0</v>
      </c>
      <c r="C54" s="33">
        <f>IF(Inputs!$B$10=1,MIN(1,$C$51/C50),1)</f>
        <v>0.5563636364</v>
      </c>
      <c r="D54" s="33">
        <f>1-Inputs!$B$46*(1-C54)</f>
        <v>1</v>
      </c>
      <c r="E54" s="33">
        <v>1.0</v>
      </c>
      <c r="F54" s="33">
        <v>1.0</v>
      </c>
      <c r="G54" s="33">
        <v>1.0</v>
      </c>
      <c r="H54" s="33">
        <v>1.0</v>
      </c>
      <c r="I54" s="33">
        <v>1.0</v>
      </c>
      <c r="J54" s="33">
        <v>1.0</v>
      </c>
      <c r="K54" s="33">
        <v>1.0</v>
      </c>
      <c r="L54" s="33">
        <v>1.0</v>
      </c>
    </row>
    <row r="55" ht="15.75" customHeight="1"/>
    <row r="56" ht="15.75" customHeight="1">
      <c r="A56" s="6" t="s">
        <v>292</v>
      </c>
      <c r="B56" s="8"/>
      <c r="C56" s="8"/>
      <c r="D56" s="8"/>
      <c r="E56" s="8"/>
      <c r="F56" s="8"/>
      <c r="G56" s="8"/>
      <c r="H56" s="8"/>
      <c r="I56" s="8"/>
      <c r="J56" s="8"/>
      <c r="K56" s="8"/>
      <c r="L56" s="8"/>
    </row>
    <row r="57" ht="15.75" customHeight="1">
      <c r="A57" s="43" t="s">
        <v>293</v>
      </c>
      <c r="B57" s="44">
        <f t="shared" ref="B57:L57" si="12">IF(B27&gt;B15,B$3,9999)</f>
        <v>9999</v>
      </c>
      <c r="C57" s="44">
        <f t="shared" si="12"/>
        <v>9999</v>
      </c>
      <c r="D57" s="44">
        <f t="shared" si="12"/>
        <v>9999</v>
      </c>
      <c r="E57" s="44">
        <f t="shared" si="12"/>
        <v>9999</v>
      </c>
      <c r="F57" s="44">
        <f t="shared" si="12"/>
        <v>9999</v>
      </c>
      <c r="G57" s="44">
        <f t="shared" si="12"/>
        <v>9999</v>
      </c>
      <c r="H57" s="44">
        <f t="shared" si="12"/>
        <v>9999</v>
      </c>
      <c r="I57" s="44">
        <f t="shared" si="12"/>
        <v>9999</v>
      </c>
      <c r="J57" s="44">
        <f t="shared" si="12"/>
        <v>9999</v>
      </c>
      <c r="K57" s="44">
        <f t="shared" si="12"/>
        <v>9999</v>
      </c>
      <c r="L57" s="44">
        <f t="shared" si="12"/>
        <v>9999</v>
      </c>
    </row>
    <row r="58" ht="15.75" customHeight="1">
      <c r="A58" s="43" t="s">
        <v>294</v>
      </c>
      <c r="B58" s="44">
        <f>9999</f>
        <v>9999</v>
      </c>
      <c r="C58" s="44">
        <f>IF(C27&gt;Inputs!$B$42*C15,C$3,9999)</f>
        <v>9999</v>
      </c>
      <c r="D58" s="44">
        <f>IF(D27&gt;Inputs!$B$42*D15,D$3,9999)</f>
        <v>9999</v>
      </c>
      <c r="E58" s="44">
        <f>IF(E27&gt;Inputs!$B$42*E15,E$3,9999)</f>
        <v>9999</v>
      </c>
      <c r="F58" s="44">
        <f>IF(F27&gt;Inputs!$B$42*F15,F$3,9999)</f>
        <v>9999</v>
      </c>
      <c r="G58" s="44">
        <f>IF(G27&gt;Inputs!$B$42*G15,G$3,9999)</f>
        <v>9999</v>
      </c>
      <c r="H58" s="44">
        <f>IF(H27&gt;Inputs!$B$42*H15,H$3,9999)</f>
        <v>9999</v>
      </c>
      <c r="I58" s="44">
        <f>IF(I27&gt;Inputs!$B$42*I15,I$3,9999)</f>
        <v>9999</v>
      </c>
      <c r="J58" s="44">
        <f>IF(J27&gt;Inputs!$B$42*J15,J$3,9999)</f>
        <v>9999</v>
      </c>
      <c r="K58" s="44">
        <f>IF(K27&gt;Inputs!$B$42*K15,K$3,9999)</f>
        <v>9999</v>
      </c>
      <c r="L58" s="44">
        <f>IF(L27&gt;Inputs!$B$42*L15,L$3,9999)</f>
        <v>9999</v>
      </c>
    </row>
    <row r="59" ht="15.75" customHeight="1">
      <c r="A59" s="43" t="s">
        <v>295</v>
      </c>
      <c r="B59" s="44">
        <f t="shared" ref="B59:L59" si="13">IF(B28&gt;B15,B$3,9999)</f>
        <v>9999</v>
      </c>
      <c r="C59" s="44">
        <f t="shared" si="13"/>
        <v>9999</v>
      </c>
      <c r="D59" s="44">
        <f t="shared" si="13"/>
        <v>9999</v>
      </c>
      <c r="E59" s="44">
        <f t="shared" si="13"/>
        <v>9999</v>
      </c>
      <c r="F59" s="44">
        <f t="shared" si="13"/>
        <v>9999</v>
      </c>
      <c r="G59" s="44">
        <f t="shared" si="13"/>
        <v>9999</v>
      </c>
      <c r="H59" s="44">
        <f t="shared" si="13"/>
        <v>9999</v>
      </c>
      <c r="I59" s="44">
        <f t="shared" si="13"/>
        <v>9999</v>
      </c>
      <c r="J59" s="44">
        <f t="shared" si="13"/>
        <v>9999</v>
      </c>
      <c r="K59" s="44">
        <f t="shared" si="13"/>
        <v>9999</v>
      </c>
      <c r="L59" s="44">
        <f t="shared" si="13"/>
        <v>9999</v>
      </c>
    </row>
    <row r="60" ht="15.75" customHeight="1">
      <c r="A60" s="43" t="s">
        <v>296</v>
      </c>
      <c r="B60" s="44">
        <f>9999</f>
        <v>9999</v>
      </c>
      <c r="C60" s="44">
        <f>IF(C28&gt;Inputs!$B$42*C15,C$3,9999)</f>
        <v>9999</v>
      </c>
      <c r="D60" s="44">
        <f>IF(D28&gt;Inputs!$B$42*D15,D$3,9999)</f>
        <v>9999</v>
      </c>
      <c r="E60" s="44">
        <f>IF(E28&gt;Inputs!$B$42*E15,E$3,9999)</f>
        <v>9999</v>
      </c>
      <c r="F60" s="44">
        <f>IF(F28&gt;Inputs!$B$42*F15,F$3,9999)</f>
        <v>9999</v>
      </c>
      <c r="G60" s="44">
        <f>IF(G28&gt;Inputs!$B$42*G15,G$3,9999)</f>
        <v>9999</v>
      </c>
      <c r="H60" s="44">
        <f>IF(H28&gt;Inputs!$B$42*H15,H$3,9999)</f>
        <v>9999</v>
      </c>
      <c r="I60" s="44">
        <f>IF(I28&gt;Inputs!$B$42*I15,I$3,9999)</f>
        <v>9999</v>
      </c>
      <c r="J60" s="44">
        <f>IF(J28&gt;Inputs!$B$42*J15,J$3,9999)</f>
        <v>9999</v>
      </c>
      <c r="K60" s="44">
        <f>IF(K28&gt;Inputs!$B$42*K15,K$3,9999)</f>
        <v>9999</v>
      </c>
      <c r="L60" s="44">
        <f>IF(L28&gt;Inputs!$B$42*L15,L$3,9999)</f>
        <v>9999</v>
      </c>
    </row>
    <row r="61" ht="15.75" customHeight="1">
      <c r="A61" s="43" t="s">
        <v>297</v>
      </c>
      <c r="B61" s="44">
        <f t="shared" ref="B61:L61" si="14">IF(B29&gt;B15,B$3,9999)</f>
        <v>9999</v>
      </c>
      <c r="C61" s="44">
        <f t="shared" si="14"/>
        <v>9999</v>
      </c>
      <c r="D61" s="44">
        <f t="shared" si="14"/>
        <v>9999</v>
      </c>
      <c r="E61" s="44">
        <f t="shared" si="14"/>
        <v>9999</v>
      </c>
      <c r="F61" s="44">
        <f t="shared" si="14"/>
        <v>9999</v>
      </c>
      <c r="G61" s="44">
        <f t="shared" si="14"/>
        <v>9999</v>
      </c>
      <c r="H61" s="44">
        <f t="shared" si="14"/>
        <v>9999</v>
      </c>
      <c r="I61" s="44">
        <f t="shared" si="14"/>
        <v>9999</v>
      </c>
      <c r="J61" s="44">
        <f t="shared" si="14"/>
        <v>9999</v>
      </c>
      <c r="K61" s="44">
        <f t="shared" si="14"/>
        <v>9999</v>
      </c>
      <c r="L61" s="44">
        <f t="shared" si="14"/>
        <v>9999</v>
      </c>
    </row>
    <row r="62" ht="15.75" customHeight="1">
      <c r="A62" s="43" t="s">
        <v>298</v>
      </c>
      <c r="B62" s="44">
        <f>9999</f>
        <v>9999</v>
      </c>
      <c r="C62" s="44">
        <f>IF(C29&gt;Inputs!$B$42*C15,C$3,9999)</f>
        <v>9999</v>
      </c>
      <c r="D62" s="44">
        <f>IF(D29&gt;Inputs!$B$42*D15,D$3,9999)</f>
        <v>2028</v>
      </c>
      <c r="E62" s="44">
        <f>IF(E29&gt;Inputs!$B$42*E15,E$3,9999)</f>
        <v>9999</v>
      </c>
      <c r="F62" s="44">
        <f>IF(F29&gt;Inputs!$B$42*F15,F$3,9999)</f>
        <v>9999</v>
      </c>
      <c r="G62" s="44">
        <f>IF(G29&gt;Inputs!$B$42*G15,G$3,9999)</f>
        <v>9999</v>
      </c>
      <c r="H62" s="44">
        <f>IF(H29&gt;Inputs!$B$42*H15,H$3,9999)</f>
        <v>9999</v>
      </c>
      <c r="I62" s="44">
        <f>IF(I29&gt;Inputs!$B$42*I15,I$3,9999)</f>
        <v>9999</v>
      </c>
      <c r="J62" s="44">
        <f>IF(J29&gt;Inputs!$B$42*J15,J$3,9999)</f>
        <v>9999</v>
      </c>
      <c r="K62" s="44">
        <f>IF(K29&gt;Inputs!$B$42*K15,K$3,9999)</f>
        <v>9999</v>
      </c>
      <c r="L62" s="44">
        <f>IF(L29&gt;Inputs!$B$42*L15,L$3,9999)</f>
        <v>9999</v>
      </c>
    </row>
    <row r="63" ht="15.75" customHeight="1">
      <c r="A63" s="43" t="s">
        <v>299</v>
      </c>
      <c r="B63" s="44">
        <f t="shared" ref="B63:L63" si="15">IF(B30&gt;B15,B$3,9999)</f>
        <v>9999</v>
      </c>
      <c r="C63" s="44">
        <f t="shared" si="15"/>
        <v>2027</v>
      </c>
      <c r="D63" s="44">
        <f t="shared" si="15"/>
        <v>2028</v>
      </c>
      <c r="E63" s="44">
        <f t="shared" si="15"/>
        <v>2029</v>
      </c>
      <c r="F63" s="44">
        <f t="shared" si="15"/>
        <v>2030</v>
      </c>
      <c r="G63" s="44">
        <f t="shared" si="15"/>
        <v>2031</v>
      </c>
      <c r="H63" s="44">
        <f t="shared" si="15"/>
        <v>2032</v>
      </c>
      <c r="I63" s="44">
        <f t="shared" si="15"/>
        <v>2033</v>
      </c>
      <c r="J63" s="44">
        <f t="shared" si="15"/>
        <v>2034</v>
      </c>
      <c r="K63" s="44">
        <f t="shared" si="15"/>
        <v>2035</v>
      </c>
      <c r="L63" s="44">
        <f t="shared" si="15"/>
        <v>2036</v>
      </c>
    </row>
    <row r="64" ht="15.75" customHeight="1">
      <c r="A64" s="43" t="s">
        <v>300</v>
      </c>
      <c r="B64" s="44">
        <f>9999</f>
        <v>9999</v>
      </c>
      <c r="C64" s="44">
        <f>IF(C30&gt;Inputs!$B$42*C15,C$3,9999)</f>
        <v>2027</v>
      </c>
      <c r="D64" s="44">
        <f>IF(D30&gt;Inputs!$B$42*D15,D$3,9999)</f>
        <v>2028</v>
      </c>
      <c r="E64" s="44">
        <f>IF(E30&gt;Inputs!$B$42*E15,E$3,9999)</f>
        <v>2029</v>
      </c>
      <c r="F64" s="44">
        <f>IF(F30&gt;Inputs!$B$42*F15,F$3,9999)</f>
        <v>2030</v>
      </c>
      <c r="G64" s="44">
        <f>IF(G30&gt;Inputs!$B$42*G15,G$3,9999)</f>
        <v>2031</v>
      </c>
      <c r="H64" s="44">
        <f>IF(H30&gt;Inputs!$B$42*H15,H$3,9999)</f>
        <v>2032</v>
      </c>
      <c r="I64" s="44">
        <f>IF(I30&gt;Inputs!$B$42*I15,I$3,9999)</f>
        <v>2033</v>
      </c>
      <c r="J64" s="44">
        <f>IF(J30&gt;Inputs!$B$42*J15,J$3,9999)</f>
        <v>2034</v>
      </c>
      <c r="K64" s="44">
        <f>IF(K30&gt;Inputs!$B$42*K15,K$3,9999)</f>
        <v>2035</v>
      </c>
      <c r="L64" s="44">
        <f>IF(L30&gt;Inputs!$B$42*L15,L$3,9999)</f>
        <v>2036</v>
      </c>
    </row>
    <row r="65" ht="15.75" customHeight="1">
      <c r="A65" s="43" t="s">
        <v>301</v>
      </c>
      <c r="B65" s="44">
        <f t="shared" ref="B65:L65" si="16">IF(B31&gt;B15,B$3,9999)</f>
        <v>9999</v>
      </c>
      <c r="C65" s="44">
        <f t="shared" si="16"/>
        <v>2027</v>
      </c>
      <c r="D65" s="44">
        <f t="shared" si="16"/>
        <v>2028</v>
      </c>
      <c r="E65" s="44">
        <f t="shared" si="16"/>
        <v>2029</v>
      </c>
      <c r="F65" s="44">
        <f t="shared" si="16"/>
        <v>2030</v>
      </c>
      <c r="G65" s="44">
        <f t="shared" si="16"/>
        <v>2031</v>
      </c>
      <c r="H65" s="44">
        <f t="shared" si="16"/>
        <v>2032</v>
      </c>
      <c r="I65" s="44">
        <f t="shared" si="16"/>
        <v>2033</v>
      </c>
      <c r="J65" s="44">
        <f t="shared" si="16"/>
        <v>2034</v>
      </c>
      <c r="K65" s="44">
        <f t="shared" si="16"/>
        <v>2035</v>
      </c>
      <c r="L65" s="44">
        <f t="shared" si="16"/>
        <v>2036</v>
      </c>
    </row>
    <row r="66" ht="15.75" customHeight="1">
      <c r="A66" s="43" t="s">
        <v>302</v>
      </c>
      <c r="B66" s="44">
        <f>9999</f>
        <v>9999</v>
      </c>
      <c r="C66" s="44">
        <f>IF(C31&gt;Inputs!$B$42*C15,C$3,9999)</f>
        <v>2027</v>
      </c>
      <c r="D66" s="44">
        <f>IF(D31&gt;Inputs!$B$42*D15,D$3,9999)</f>
        <v>2028</v>
      </c>
      <c r="E66" s="44">
        <f>IF(E31&gt;Inputs!$B$42*E15,E$3,9999)</f>
        <v>2029</v>
      </c>
      <c r="F66" s="44">
        <f>IF(F31&gt;Inputs!$B$42*F15,F$3,9999)</f>
        <v>2030</v>
      </c>
      <c r="G66" s="44">
        <f>IF(G31&gt;Inputs!$B$42*G15,G$3,9999)</f>
        <v>2031</v>
      </c>
      <c r="H66" s="44">
        <f>IF(H31&gt;Inputs!$B$42*H15,H$3,9999)</f>
        <v>2032</v>
      </c>
      <c r="I66" s="44">
        <f>IF(I31&gt;Inputs!$B$42*I15,I$3,9999)</f>
        <v>2033</v>
      </c>
      <c r="J66" s="44">
        <f>IF(J31&gt;Inputs!$B$42*J15,J$3,9999)</f>
        <v>2034</v>
      </c>
      <c r="K66" s="44">
        <f>IF(K31&gt;Inputs!$B$42*K15,K$3,9999)</f>
        <v>2035</v>
      </c>
      <c r="L66" s="44">
        <f>IF(L31&gt;Inputs!$B$42*L15,L$3,9999)</f>
        <v>2036</v>
      </c>
    </row>
    <row r="67" ht="15.75" customHeight="1">
      <c r="A67" s="43" t="s">
        <v>303</v>
      </c>
      <c r="B67" s="44">
        <f t="shared" ref="B67:L67" si="17">IF(B32&gt;B15,B$3,9999)</f>
        <v>9999</v>
      </c>
      <c r="C67" s="44">
        <f t="shared" si="17"/>
        <v>2027</v>
      </c>
      <c r="D67" s="44">
        <f t="shared" si="17"/>
        <v>2028</v>
      </c>
      <c r="E67" s="44">
        <f t="shared" si="17"/>
        <v>2029</v>
      </c>
      <c r="F67" s="44">
        <f t="shared" si="17"/>
        <v>2030</v>
      </c>
      <c r="G67" s="44">
        <f t="shared" si="17"/>
        <v>2031</v>
      </c>
      <c r="H67" s="44">
        <f t="shared" si="17"/>
        <v>2032</v>
      </c>
      <c r="I67" s="44">
        <f t="shared" si="17"/>
        <v>2033</v>
      </c>
      <c r="J67" s="44">
        <f t="shared" si="17"/>
        <v>2034</v>
      </c>
      <c r="K67" s="44">
        <f t="shared" si="17"/>
        <v>2035</v>
      </c>
      <c r="L67" s="44">
        <f t="shared" si="17"/>
        <v>2036</v>
      </c>
    </row>
    <row r="68" ht="15.75" customHeight="1">
      <c r="A68" s="43" t="s">
        <v>304</v>
      </c>
      <c r="B68" s="44">
        <f>9999</f>
        <v>9999</v>
      </c>
      <c r="C68" s="44">
        <f>IF(C32&gt;Inputs!$B$42*C15,C$3,9999)</f>
        <v>2027</v>
      </c>
      <c r="D68" s="44">
        <f>IF(D32&gt;Inputs!$B$42*D15,D$3,9999)</f>
        <v>2028</v>
      </c>
      <c r="E68" s="44">
        <f>IF(E32&gt;Inputs!$B$42*E15,E$3,9999)</f>
        <v>2029</v>
      </c>
      <c r="F68" s="44">
        <f>IF(F32&gt;Inputs!$B$42*F15,F$3,9999)</f>
        <v>2030</v>
      </c>
      <c r="G68" s="44">
        <f>IF(G32&gt;Inputs!$B$42*G15,G$3,9999)</f>
        <v>2031</v>
      </c>
      <c r="H68" s="44">
        <f>IF(H32&gt;Inputs!$B$42*H15,H$3,9999)</f>
        <v>2032</v>
      </c>
      <c r="I68" s="44">
        <f>IF(I32&gt;Inputs!$B$42*I15,I$3,9999)</f>
        <v>2033</v>
      </c>
      <c r="J68" s="44">
        <f>IF(J32&gt;Inputs!$B$42*J15,J$3,9999)</f>
        <v>2034</v>
      </c>
      <c r="K68" s="44">
        <f>IF(K32&gt;Inputs!$B$42*K15,K$3,9999)</f>
        <v>2035</v>
      </c>
      <c r="L68" s="44">
        <f>IF(L32&gt;Inputs!$B$42*L15,L$3,9999)</f>
        <v>2036</v>
      </c>
    </row>
    <row r="69" ht="15.75" customHeight="1">
      <c r="A69" s="43" t="s">
        <v>305</v>
      </c>
      <c r="B69" s="44">
        <f t="shared" ref="B69:L69" si="18">IF(B33&gt;B15,B$3,9999)</f>
        <v>9999</v>
      </c>
      <c r="C69" s="44">
        <f t="shared" si="18"/>
        <v>2027</v>
      </c>
      <c r="D69" s="44">
        <f t="shared" si="18"/>
        <v>2028</v>
      </c>
      <c r="E69" s="44">
        <f t="shared" si="18"/>
        <v>2029</v>
      </c>
      <c r="F69" s="44">
        <f t="shared" si="18"/>
        <v>2030</v>
      </c>
      <c r="G69" s="44">
        <f t="shared" si="18"/>
        <v>2031</v>
      </c>
      <c r="H69" s="44">
        <f t="shared" si="18"/>
        <v>2032</v>
      </c>
      <c r="I69" s="44">
        <f t="shared" si="18"/>
        <v>2033</v>
      </c>
      <c r="J69" s="44">
        <f t="shared" si="18"/>
        <v>2034</v>
      </c>
      <c r="K69" s="44">
        <f t="shared" si="18"/>
        <v>2035</v>
      </c>
      <c r="L69" s="44">
        <f t="shared" si="18"/>
        <v>2036</v>
      </c>
    </row>
    <row r="70" ht="15.75" customHeight="1">
      <c r="A70" s="43" t="s">
        <v>306</v>
      </c>
      <c r="B70" s="44">
        <f>9999</f>
        <v>9999</v>
      </c>
      <c r="C70" s="44">
        <f>IF(C33&gt;Inputs!$B$42*C15,C$3,9999)</f>
        <v>2027</v>
      </c>
      <c r="D70" s="44">
        <f>IF(D33&gt;Inputs!$B$42*D15,D$3,9999)</f>
        <v>2028</v>
      </c>
      <c r="E70" s="44">
        <f>IF(E33&gt;Inputs!$B$42*E15,E$3,9999)</f>
        <v>2029</v>
      </c>
      <c r="F70" s="44">
        <f>IF(F33&gt;Inputs!$B$42*F15,F$3,9999)</f>
        <v>2030</v>
      </c>
      <c r="G70" s="44">
        <f>IF(G33&gt;Inputs!$B$42*G15,G$3,9999)</f>
        <v>2031</v>
      </c>
      <c r="H70" s="44">
        <f>IF(H33&gt;Inputs!$B$42*H15,H$3,9999)</f>
        <v>2032</v>
      </c>
      <c r="I70" s="44">
        <f>IF(I33&gt;Inputs!$B$42*I15,I$3,9999)</f>
        <v>2033</v>
      </c>
      <c r="J70" s="44">
        <f>IF(J33&gt;Inputs!$B$42*J15,J$3,9999)</f>
        <v>2034</v>
      </c>
      <c r="K70" s="44">
        <f>IF(K33&gt;Inputs!$B$42*K15,K$3,9999)</f>
        <v>2035</v>
      </c>
      <c r="L70" s="44">
        <f>IF(L33&gt;Inputs!$B$42*L15,L$3,9999)</f>
        <v>2036</v>
      </c>
    </row>
    <row r="71" ht="15.75" customHeight="1">
      <c r="A71" s="43" t="s">
        <v>307</v>
      </c>
      <c r="B71" s="44">
        <f t="shared" ref="B71:L71" si="19">IF(B34&gt;B15,B$3,9999)</f>
        <v>9999</v>
      </c>
      <c r="C71" s="44">
        <f t="shared" si="19"/>
        <v>9999</v>
      </c>
      <c r="D71" s="44">
        <f t="shared" si="19"/>
        <v>9999</v>
      </c>
      <c r="E71" s="44">
        <f t="shared" si="19"/>
        <v>9999</v>
      </c>
      <c r="F71" s="44">
        <f t="shared" si="19"/>
        <v>9999</v>
      </c>
      <c r="G71" s="44">
        <f t="shared" si="19"/>
        <v>9999</v>
      </c>
      <c r="H71" s="44">
        <f t="shared" si="19"/>
        <v>9999</v>
      </c>
      <c r="I71" s="44">
        <f t="shared" si="19"/>
        <v>9999</v>
      </c>
      <c r="J71" s="44">
        <f t="shared" si="19"/>
        <v>9999</v>
      </c>
      <c r="K71" s="44">
        <f t="shared" si="19"/>
        <v>9999</v>
      </c>
      <c r="L71" s="44">
        <f t="shared" si="19"/>
        <v>9999</v>
      </c>
    </row>
    <row r="72" ht="15.75" customHeight="1">
      <c r="A72" s="43" t="s">
        <v>308</v>
      </c>
      <c r="B72" s="44">
        <f>9999</f>
        <v>9999</v>
      </c>
      <c r="C72" s="44">
        <f>IF(C34&gt;Inputs!$B$42*C15,C$3,9999)</f>
        <v>9999</v>
      </c>
      <c r="D72" s="44">
        <f>IF(D34&gt;Inputs!$B$42*D15,D$3,9999)</f>
        <v>9999</v>
      </c>
      <c r="E72" s="44">
        <f>IF(E34&gt;Inputs!$B$42*E15,E$3,9999)</f>
        <v>9999</v>
      </c>
      <c r="F72" s="44">
        <f>IF(F34&gt;Inputs!$B$42*F15,F$3,9999)</f>
        <v>9999</v>
      </c>
      <c r="G72" s="44">
        <f>IF(G34&gt;Inputs!$B$42*G15,G$3,9999)</f>
        <v>9999</v>
      </c>
      <c r="H72" s="44">
        <f>IF(H34&gt;Inputs!$B$42*H15,H$3,9999)</f>
        <v>9999</v>
      </c>
      <c r="I72" s="44">
        <f>IF(I34&gt;Inputs!$B$42*I15,I$3,9999)</f>
        <v>9999</v>
      </c>
      <c r="J72" s="44">
        <f>IF(J34&gt;Inputs!$B$42*J15,J$3,9999)</f>
        <v>9999</v>
      </c>
      <c r="K72" s="44">
        <f>IF(K34&gt;Inputs!$B$42*K15,K$3,9999)</f>
        <v>9999</v>
      </c>
      <c r="L72" s="44">
        <f>IF(L34&gt;Inputs!$B$42*L15,L$3,9999)</f>
        <v>9999</v>
      </c>
    </row>
    <row r="73" ht="15.75" customHeight="1">
      <c r="A73" s="43" t="s">
        <v>309</v>
      </c>
      <c r="B73" s="44">
        <f t="shared" ref="B73:L73" si="20">IF(B27&gt;B20,B$3,9999)</f>
        <v>9999</v>
      </c>
      <c r="C73" s="44">
        <f t="shared" si="20"/>
        <v>9999</v>
      </c>
      <c r="D73" s="44">
        <f t="shared" si="20"/>
        <v>9999</v>
      </c>
      <c r="E73" s="44">
        <f t="shared" si="20"/>
        <v>9999</v>
      </c>
      <c r="F73" s="44">
        <f t="shared" si="20"/>
        <v>9999</v>
      </c>
      <c r="G73" s="44">
        <f t="shared" si="20"/>
        <v>9999</v>
      </c>
      <c r="H73" s="44">
        <f t="shared" si="20"/>
        <v>9999</v>
      </c>
      <c r="I73" s="44">
        <f t="shared" si="20"/>
        <v>9999</v>
      </c>
      <c r="J73" s="44">
        <f t="shared" si="20"/>
        <v>9999</v>
      </c>
      <c r="K73" s="44">
        <f t="shared" si="20"/>
        <v>9999</v>
      </c>
      <c r="L73" s="44">
        <f t="shared" si="20"/>
        <v>9999</v>
      </c>
    </row>
    <row r="74" ht="15.75" customHeight="1">
      <c r="A74" s="43" t="s">
        <v>310</v>
      </c>
      <c r="B74" s="44">
        <f>9999</f>
        <v>9999</v>
      </c>
      <c r="C74" s="44">
        <f>IF(C27&gt;Inputs!$B$42*C20,C$3,9999)</f>
        <v>9999</v>
      </c>
      <c r="D74" s="44">
        <f>IF(D27&gt;Inputs!$B$42*D20,D$3,9999)</f>
        <v>9999</v>
      </c>
      <c r="E74" s="44">
        <f>IF(E27&gt;Inputs!$B$42*E20,E$3,9999)</f>
        <v>9999</v>
      </c>
      <c r="F74" s="44">
        <f>IF(F27&gt;Inputs!$B$42*F20,F$3,9999)</f>
        <v>9999</v>
      </c>
      <c r="G74" s="44">
        <f>IF(G27&gt;Inputs!$B$42*G20,G$3,9999)</f>
        <v>9999</v>
      </c>
      <c r="H74" s="44">
        <f>IF(H27&gt;Inputs!$B$42*H20,H$3,9999)</f>
        <v>9999</v>
      </c>
      <c r="I74" s="44">
        <f>IF(I27&gt;Inputs!$B$42*I20,I$3,9999)</f>
        <v>9999</v>
      </c>
      <c r="J74" s="44">
        <f>IF(J27&gt;Inputs!$B$42*J20,J$3,9999)</f>
        <v>9999</v>
      </c>
      <c r="K74" s="44">
        <f>IF(K27&gt;Inputs!$B$42*K20,K$3,9999)</f>
        <v>9999</v>
      </c>
      <c r="L74" s="44">
        <f>IF(L27&gt;Inputs!$B$42*L20,L$3,9999)</f>
        <v>9999</v>
      </c>
    </row>
    <row r="75" ht="15.75" customHeight="1">
      <c r="A75" s="43" t="s">
        <v>311</v>
      </c>
      <c r="B75" s="44">
        <f t="shared" ref="B75:L75" si="21">IF(B28&gt;B20,B$3,9999)</f>
        <v>9999</v>
      </c>
      <c r="C75" s="44">
        <f t="shared" si="21"/>
        <v>9999</v>
      </c>
      <c r="D75" s="44">
        <f t="shared" si="21"/>
        <v>9999</v>
      </c>
      <c r="E75" s="44">
        <f t="shared" si="21"/>
        <v>9999</v>
      </c>
      <c r="F75" s="44">
        <f t="shared" si="21"/>
        <v>9999</v>
      </c>
      <c r="G75" s="44">
        <f t="shared" si="21"/>
        <v>9999</v>
      </c>
      <c r="H75" s="44">
        <f t="shared" si="21"/>
        <v>9999</v>
      </c>
      <c r="I75" s="44">
        <f t="shared" si="21"/>
        <v>9999</v>
      </c>
      <c r="J75" s="44">
        <f t="shared" si="21"/>
        <v>9999</v>
      </c>
      <c r="K75" s="44">
        <f t="shared" si="21"/>
        <v>9999</v>
      </c>
      <c r="L75" s="44">
        <f t="shared" si="21"/>
        <v>9999</v>
      </c>
    </row>
    <row r="76" ht="15.75" customHeight="1">
      <c r="A76" s="43" t="s">
        <v>312</v>
      </c>
      <c r="B76" s="44">
        <f>9999</f>
        <v>9999</v>
      </c>
      <c r="C76" s="44">
        <f>IF(C28&gt;Inputs!$B$42*C20,C$3,9999)</f>
        <v>9999</v>
      </c>
      <c r="D76" s="44">
        <f>IF(D28&gt;Inputs!$B$42*D20,D$3,9999)</f>
        <v>9999</v>
      </c>
      <c r="E76" s="44">
        <f>IF(E28&gt;Inputs!$B$42*E20,E$3,9999)</f>
        <v>9999</v>
      </c>
      <c r="F76" s="44">
        <f>IF(F28&gt;Inputs!$B$42*F20,F$3,9999)</f>
        <v>9999</v>
      </c>
      <c r="G76" s="44">
        <f>IF(G28&gt;Inputs!$B$42*G20,G$3,9999)</f>
        <v>9999</v>
      </c>
      <c r="H76" s="44">
        <f>IF(H28&gt;Inputs!$B$42*H20,H$3,9999)</f>
        <v>9999</v>
      </c>
      <c r="I76" s="44">
        <f>IF(I28&gt;Inputs!$B$42*I20,I$3,9999)</f>
        <v>9999</v>
      </c>
      <c r="J76" s="44">
        <f>IF(J28&gt;Inputs!$B$42*J20,J$3,9999)</f>
        <v>9999</v>
      </c>
      <c r="K76" s="44">
        <f>IF(K28&gt;Inputs!$B$42*K20,K$3,9999)</f>
        <v>9999</v>
      </c>
      <c r="L76" s="44">
        <f>IF(L28&gt;Inputs!$B$42*L20,L$3,9999)</f>
        <v>9999</v>
      </c>
    </row>
    <row r="77" ht="15.75" customHeight="1">
      <c r="A77" s="43" t="s">
        <v>313</v>
      </c>
      <c r="B77" s="44">
        <f t="shared" ref="B77:L77" si="22">IF(B29&gt;B20,B$3,9999)</f>
        <v>9999</v>
      </c>
      <c r="C77" s="44">
        <f t="shared" si="22"/>
        <v>9999</v>
      </c>
      <c r="D77" s="44">
        <f t="shared" si="22"/>
        <v>9999</v>
      </c>
      <c r="E77" s="44">
        <f t="shared" si="22"/>
        <v>9999</v>
      </c>
      <c r="F77" s="44">
        <f t="shared" si="22"/>
        <v>9999</v>
      </c>
      <c r="G77" s="44">
        <f t="shared" si="22"/>
        <v>9999</v>
      </c>
      <c r="H77" s="44">
        <f t="shared" si="22"/>
        <v>9999</v>
      </c>
      <c r="I77" s="44">
        <f t="shared" si="22"/>
        <v>9999</v>
      </c>
      <c r="J77" s="44">
        <f t="shared" si="22"/>
        <v>9999</v>
      </c>
      <c r="K77" s="44">
        <f t="shared" si="22"/>
        <v>9999</v>
      </c>
      <c r="L77" s="44">
        <f t="shared" si="22"/>
        <v>9999</v>
      </c>
    </row>
    <row r="78" ht="15.75" customHeight="1">
      <c r="A78" s="43" t="s">
        <v>314</v>
      </c>
      <c r="B78" s="44">
        <f>9999</f>
        <v>9999</v>
      </c>
      <c r="C78" s="44">
        <f>IF(C29&gt;Inputs!$B$42*C20,C$3,9999)</f>
        <v>9999</v>
      </c>
      <c r="D78" s="44">
        <f>IF(D29&gt;Inputs!$B$42*D20,D$3,9999)</f>
        <v>9999</v>
      </c>
      <c r="E78" s="44">
        <f>IF(E29&gt;Inputs!$B$42*E20,E$3,9999)</f>
        <v>9999</v>
      </c>
      <c r="F78" s="44">
        <f>IF(F29&gt;Inputs!$B$42*F20,F$3,9999)</f>
        <v>9999</v>
      </c>
      <c r="G78" s="44">
        <f>IF(G29&gt;Inputs!$B$42*G20,G$3,9999)</f>
        <v>9999</v>
      </c>
      <c r="H78" s="44">
        <f>IF(H29&gt;Inputs!$B$42*H20,H$3,9999)</f>
        <v>9999</v>
      </c>
      <c r="I78" s="44">
        <f>IF(I29&gt;Inputs!$B$42*I20,I$3,9999)</f>
        <v>9999</v>
      </c>
      <c r="J78" s="44">
        <f>IF(J29&gt;Inputs!$B$42*J20,J$3,9999)</f>
        <v>9999</v>
      </c>
      <c r="K78" s="44">
        <f>IF(K29&gt;Inputs!$B$42*K20,K$3,9999)</f>
        <v>9999</v>
      </c>
      <c r="L78" s="44">
        <f>IF(L29&gt;Inputs!$B$42*L20,L$3,9999)</f>
        <v>9999</v>
      </c>
    </row>
    <row r="79" ht="15.75" customHeight="1">
      <c r="A79" s="43" t="s">
        <v>315</v>
      </c>
      <c r="B79" s="44">
        <f t="shared" ref="B79:L79" si="23">IF(B30&gt;B20,B$3,9999)</f>
        <v>9999</v>
      </c>
      <c r="C79" s="44">
        <f t="shared" si="23"/>
        <v>9999</v>
      </c>
      <c r="D79" s="44">
        <f t="shared" si="23"/>
        <v>9999</v>
      </c>
      <c r="E79" s="44">
        <f t="shared" si="23"/>
        <v>9999</v>
      </c>
      <c r="F79" s="44">
        <f t="shared" si="23"/>
        <v>9999</v>
      </c>
      <c r="G79" s="44">
        <f t="shared" si="23"/>
        <v>9999</v>
      </c>
      <c r="H79" s="44">
        <f t="shared" si="23"/>
        <v>9999</v>
      </c>
      <c r="I79" s="44">
        <f t="shared" si="23"/>
        <v>9999</v>
      </c>
      <c r="J79" s="44">
        <f t="shared" si="23"/>
        <v>9999</v>
      </c>
      <c r="K79" s="44">
        <f t="shared" si="23"/>
        <v>9999</v>
      </c>
      <c r="L79" s="44">
        <f t="shared" si="23"/>
        <v>9999</v>
      </c>
    </row>
    <row r="80" ht="15.75" customHeight="1">
      <c r="A80" s="43" t="s">
        <v>316</v>
      </c>
      <c r="B80" s="44">
        <f>9999</f>
        <v>9999</v>
      </c>
      <c r="C80" s="44">
        <f>IF(C30&gt;Inputs!$B$42*C20,C$3,9999)</f>
        <v>9999</v>
      </c>
      <c r="D80" s="44">
        <f>IF(D30&gt;Inputs!$B$42*D20,D$3,9999)</f>
        <v>9999</v>
      </c>
      <c r="E80" s="44">
        <f>IF(E30&gt;Inputs!$B$42*E20,E$3,9999)</f>
        <v>9999</v>
      </c>
      <c r="F80" s="44">
        <f>IF(F30&gt;Inputs!$B$42*F20,F$3,9999)</f>
        <v>9999</v>
      </c>
      <c r="G80" s="44">
        <f>IF(G30&gt;Inputs!$B$42*G20,G$3,9999)</f>
        <v>9999</v>
      </c>
      <c r="H80" s="44">
        <f>IF(H30&gt;Inputs!$B$42*H20,H$3,9999)</f>
        <v>9999</v>
      </c>
      <c r="I80" s="44">
        <f>IF(I30&gt;Inputs!$B$42*I20,I$3,9999)</f>
        <v>9999</v>
      </c>
      <c r="J80" s="44">
        <f>IF(J30&gt;Inputs!$B$42*J20,J$3,9999)</f>
        <v>9999</v>
      </c>
      <c r="K80" s="44">
        <f>IF(K30&gt;Inputs!$B$42*K20,K$3,9999)</f>
        <v>9999</v>
      </c>
      <c r="L80" s="44">
        <f>IF(L30&gt;Inputs!$B$42*L20,L$3,9999)</f>
        <v>9999</v>
      </c>
    </row>
    <row r="81" ht="15.75" customHeight="1">
      <c r="A81" s="43" t="s">
        <v>317</v>
      </c>
      <c r="B81" s="44">
        <f t="shared" ref="B81:L81" si="24">IF(B31&gt;B20,B$3,9999)</f>
        <v>9999</v>
      </c>
      <c r="C81" s="44">
        <f t="shared" si="24"/>
        <v>9999</v>
      </c>
      <c r="D81" s="44">
        <f t="shared" si="24"/>
        <v>2028</v>
      </c>
      <c r="E81" s="44">
        <f t="shared" si="24"/>
        <v>2029</v>
      </c>
      <c r="F81" s="44">
        <f t="shared" si="24"/>
        <v>2030</v>
      </c>
      <c r="G81" s="44">
        <f t="shared" si="24"/>
        <v>2031</v>
      </c>
      <c r="H81" s="44">
        <f t="shared" si="24"/>
        <v>2032</v>
      </c>
      <c r="I81" s="44">
        <f t="shared" si="24"/>
        <v>2033</v>
      </c>
      <c r="J81" s="44">
        <f t="shared" si="24"/>
        <v>2034</v>
      </c>
      <c r="K81" s="44">
        <f t="shared" si="24"/>
        <v>2035</v>
      </c>
      <c r="L81" s="44">
        <f t="shared" si="24"/>
        <v>2036</v>
      </c>
    </row>
    <row r="82" ht="15.75" customHeight="1">
      <c r="A82" s="43" t="s">
        <v>318</v>
      </c>
      <c r="B82" s="44">
        <f>9999</f>
        <v>9999</v>
      </c>
      <c r="C82" s="44">
        <f>IF(C31&gt;Inputs!$B$42*C20,C$3,9999)</f>
        <v>9999</v>
      </c>
      <c r="D82" s="44">
        <f>IF(D31&gt;Inputs!$B$42*D20,D$3,9999)</f>
        <v>2028</v>
      </c>
      <c r="E82" s="44">
        <f>IF(E31&gt;Inputs!$B$42*E20,E$3,9999)</f>
        <v>2029</v>
      </c>
      <c r="F82" s="44">
        <f>IF(F31&gt;Inputs!$B$42*F20,F$3,9999)</f>
        <v>2030</v>
      </c>
      <c r="G82" s="44">
        <f>IF(G31&gt;Inputs!$B$42*G20,G$3,9999)</f>
        <v>2031</v>
      </c>
      <c r="H82" s="44">
        <f>IF(H31&gt;Inputs!$B$42*H20,H$3,9999)</f>
        <v>2032</v>
      </c>
      <c r="I82" s="44">
        <f>IF(I31&gt;Inputs!$B$42*I20,I$3,9999)</f>
        <v>2033</v>
      </c>
      <c r="J82" s="44">
        <f>IF(J31&gt;Inputs!$B$42*J20,J$3,9999)</f>
        <v>2034</v>
      </c>
      <c r="K82" s="44">
        <f>IF(K31&gt;Inputs!$B$42*K20,K$3,9999)</f>
        <v>2035</v>
      </c>
      <c r="L82" s="44">
        <f>IF(L31&gt;Inputs!$B$42*L20,L$3,9999)</f>
        <v>2036</v>
      </c>
    </row>
    <row r="83" ht="15.75" customHeight="1">
      <c r="A83" s="43" t="s">
        <v>319</v>
      </c>
      <c r="B83" s="44">
        <f t="shared" ref="B83:L83" si="25">IF(B32&gt;B20,B$3,9999)</f>
        <v>9999</v>
      </c>
      <c r="C83" s="44">
        <f t="shared" si="25"/>
        <v>2027</v>
      </c>
      <c r="D83" s="44">
        <f t="shared" si="25"/>
        <v>2028</v>
      </c>
      <c r="E83" s="44">
        <f t="shared" si="25"/>
        <v>2029</v>
      </c>
      <c r="F83" s="44">
        <f t="shared" si="25"/>
        <v>2030</v>
      </c>
      <c r="G83" s="44">
        <f t="shared" si="25"/>
        <v>2031</v>
      </c>
      <c r="H83" s="44">
        <f t="shared" si="25"/>
        <v>2032</v>
      </c>
      <c r="I83" s="44">
        <f t="shared" si="25"/>
        <v>2033</v>
      </c>
      <c r="J83" s="44">
        <f t="shared" si="25"/>
        <v>2034</v>
      </c>
      <c r="K83" s="44">
        <f t="shared" si="25"/>
        <v>2035</v>
      </c>
      <c r="L83" s="44">
        <f t="shared" si="25"/>
        <v>2036</v>
      </c>
    </row>
    <row r="84" ht="15.75" customHeight="1">
      <c r="A84" s="43" t="s">
        <v>320</v>
      </c>
      <c r="B84" s="44">
        <f>9999</f>
        <v>9999</v>
      </c>
      <c r="C84" s="44">
        <f>IF(C32&gt;Inputs!$B$42*C20,C$3,9999)</f>
        <v>2027</v>
      </c>
      <c r="D84" s="44">
        <f>IF(D32&gt;Inputs!$B$42*D20,D$3,9999)</f>
        <v>2028</v>
      </c>
      <c r="E84" s="44">
        <f>IF(E32&gt;Inputs!$B$42*E20,E$3,9999)</f>
        <v>2029</v>
      </c>
      <c r="F84" s="44">
        <f>IF(F32&gt;Inputs!$B$42*F20,F$3,9999)</f>
        <v>2030</v>
      </c>
      <c r="G84" s="44">
        <f>IF(G32&gt;Inputs!$B$42*G20,G$3,9999)</f>
        <v>2031</v>
      </c>
      <c r="H84" s="44">
        <f>IF(H32&gt;Inputs!$B$42*H20,H$3,9999)</f>
        <v>2032</v>
      </c>
      <c r="I84" s="44">
        <f>IF(I32&gt;Inputs!$B$42*I20,I$3,9999)</f>
        <v>2033</v>
      </c>
      <c r="J84" s="44">
        <f>IF(J32&gt;Inputs!$B$42*J20,J$3,9999)</f>
        <v>2034</v>
      </c>
      <c r="K84" s="44">
        <f>IF(K32&gt;Inputs!$B$42*K20,K$3,9999)</f>
        <v>2035</v>
      </c>
      <c r="L84" s="44">
        <f>IF(L32&gt;Inputs!$B$42*L20,L$3,9999)</f>
        <v>2036</v>
      </c>
    </row>
    <row r="85" ht="15.75" customHeight="1">
      <c r="A85" s="43" t="s">
        <v>321</v>
      </c>
      <c r="B85" s="44">
        <f t="shared" ref="B85:L85" si="26">IF(B33&gt;B20,B$3,9999)</f>
        <v>9999</v>
      </c>
      <c r="C85" s="44">
        <f t="shared" si="26"/>
        <v>9999</v>
      </c>
      <c r="D85" s="44">
        <f t="shared" si="26"/>
        <v>9999</v>
      </c>
      <c r="E85" s="44">
        <f t="shared" si="26"/>
        <v>2029</v>
      </c>
      <c r="F85" s="44">
        <f t="shared" si="26"/>
        <v>2030</v>
      </c>
      <c r="G85" s="44">
        <f t="shared" si="26"/>
        <v>2031</v>
      </c>
      <c r="H85" s="44">
        <f t="shared" si="26"/>
        <v>2032</v>
      </c>
      <c r="I85" s="44">
        <f t="shared" si="26"/>
        <v>2033</v>
      </c>
      <c r="J85" s="44">
        <f t="shared" si="26"/>
        <v>2034</v>
      </c>
      <c r="K85" s="44">
        <f t="shared" si="26"/>
        <v>2035</v>
      </c>
      <c r="L85" s="44">
        <f t="shared" si="26"/>
        <v>2036</v>
      </c>
    </row>
    <row r="86" ht="15.75" customHeight="1">
      <c r="A86" s="43" t="s">
        <v>322</v>
      </c>
      <c r="B86" s="44">
        <f>9999</f>
        <v>9999</v>
      </c>
      <c r="C86" s="44">
        <f>IF(C33&gt;Inputs!$B$42*C20,C$3,9999)</f>
        <v>9999</v>
      </c>
      <c r="D86" s="44">
        <f>IF(D33&gt;Inputs!$B$42*D20,D$3,9999)</f>
        <v>2028</v>
      </c>
      <c r="E86" s="44">
        <f>IF(E33&gt;Inputs!$B$42*E20,E$3,9999)</f>
        <v>2029</v>
      </c>
      <c r="F86" s="44">
        <f>IF(F33&gt;Inputs!$B$42*F20,F$3,9999)</f>
        <v>2030</v>
      </c>
      <c r="G86" s="44">
        <f>IF(G33&gt;Inputs!$B$42*G20,G$3,9999)</f>
        <v>2031</v>
      </c>
      <c r="H86" s="44">
        <f>IF(H33&gt;Inputs!$B$42*H20,H$3,9999)</f>
        <v>2032</v>
      </c>
      <c r="I86" s="44">
        <f>IF(I33&gt;Inputs!$B$42*I20,I$3,9999)</f>
        <v>2033</v>
      </c>
      <c r="J86" s="44">
        <f>IF(J33&gt;Inputs!$B$42*J20,J$3,9999)</f>
        <v>2034</v>
      </c>
      <c r="K86" s="44">
        <f>IF(K33&gt;Inputs!$B$42*K20,K$3,9999)</f>
        <v>2035</v>
      </c>
      <c r="L86" s="44">
        <f>IF(L33&gt;Inputs!$B$42*L20,L$3,9999)</f>
        <v>2036</v>
      </c>
    </row>
    <row r="87" ht="15.75" customHeight="1">
      <c r="A87" s="43" t="s">
        <v>323</v>
      </c>
      <c r="B87" s="44">
        <f t="shared" ref="B87:L87" si="27">IF(B34&gt;B20,B$3,9999)</f>
        <v>9999</v>
      </c>
      <c r="C87" s="44">
        <f t="shared" si="27"/>
        <v>9999</v>
      </c>
      <c r="D87" s="44">
        <f t="shared" si="27"/>
        <v>9999</v>
      </c>
      <c r="E87" s="44">
        <f t="shared" si="27"/>
        <v>9999</v>
      </c>
      <c r="F87" s="44">
        <f t="shared" si="27"/>
        <v>9999</v>
      </c>
      <c r="G87" s="44">
        <f t="shared" si="27"/>
        <v>9999</v>
      </c>
      <c r="H87" s="44">
        <f t="shared" si="27"/>
        <v>9999</v>
      </c>
      <c r="I87" s="44">
        <f t="shared" si="27"/>
        <v>9999</v>
      </c>
      <c r="J87" s="44">
        <f t="shared" si="27"/>
        <v>9999</v>
      </c>
      <c r="K87" s="44">
        <f t="shared" si="27"/>
        <v>9999</v>
      </c>
      <c r="L87" s="44">
        <f t="shared" si="27"/>
        <v>9999</v>
      </c>
    </row>
    <row r="88" ht="15.75" customHeight="1">
      <c r="A88" s="43" t="s">
        <v>324</v>
      </c>
      <c r="B88" s="44">
        <f>9999</f>
        <v>9999</v>
      </c>
      <c r="C88" s="44">
        <f>IF(C34&gt;Inputs!$B$42*C20,C$3,9999)</f>
        <v>9999</v>
      </c>
      <c r="D88" s="44">
        <f>IF(D34&gt;Inputs!$B$42*D20,D$3,9999)</f>
        <v>9999</v>
      </c>
      <c r="E88" s="44">
        <f>IF(E34&gt;Inputs!$B$42*E20,E$3,9999)</f>
        <v>9999</v>
      </c>
      <c r="F88" s="44">
        <f>IF(F34&gt;Inputs!$B$42*F20,F$3,9999)</f>
        <v>9999</v>
      </c>
      <c r="G88" s="44">
        <f>IF(G34&gt;Inputs!$B$42*G20,G$3,9999)</f>
        <v>9999</v>
      </c>
      <c r="H88" s="44">
        <f>IF(H34&gt;Inputs!$B$42*H20,H$3,9999)</f>
        <v>9999</v>
      </c>
      <c r="I88" s="44">
        <f>IF(I34&gt;Inputs!$B$42*I20,I$3,9999)</f>
        <v>9999</v>
      </c>
      <c r="J88" s="44">
        <f>IF(J34&gt;Inputs!$B$42*J20,J$3,9999)</f>
        <v>9999</v>
      </c>
      <c r="K88" s="44">
        <f>IF(K34&gt;Inputs!$B$42*K20,K$3,9999)</f>
        <v>9999</v>
      </c>
      <c r="L88" s="44">
        <f>IF(L34&gt;Inputs!$B$42*L20,L$3,9999)</f>
        <v>9999</v>
      </c>
    </row>
    <row r="89" ht="15.75" customHeight="1">
      <c r="A89" s="43" t="s">
        <v>325</v>
      </c>
      <c r="B89" s="44">
        <f t="shared" ref="B89:L89" si="28">IF(B27&gt;B25,B$3,9999)</f>
        <v>9999</v>
      </c>
      <c r="C89" s="44">
        <f t="shared" si="28"/>
        <v>9999</v>
      </c>
      <c r="D89" s="44">
        <f t="shared" si="28"/>
        <v>9999</v>
      </c>
      <c r="E89" s="44">
        <f t="shared" si="28"/>
        <v>9999</v>
      </c>
      <c r="F89" s="44">
        <f t="shared" si="28"/>
        <v>9999</v>
      </c>
      <c r="G89" s="44">
        <f t="shared" si="28"/>
        <v>9999</v>
      </c>
      <c r="H89" s="44">
        <f t="shared" si="28"/>
        <v>9999</v>
      </c>
      <c r="I89" s="44">
        <f t="shared" si="28"/>
        <v>9999</v>
      </c>
      <c r="J89" s="44">
        <f t="shared" si="28"/>
        <v>9999</v>
      </c>
      <c r="K89" s="44">
        <f t="shared" si="28"/>
        <v>9999</v>
      </c>
      <c r="L89" s="44">
        <f t="shared" si="28"/>
        <v>9999</v>
      </c>
    </row>
    <row r="90" ht="15.75" customHeight="1">
      <c r="A90" s="43" t="s">
        <v>326</v>
      </c>
      <c r="B90" s="44">
        <f>9999</f>
        <v>9999</v>
      </c>
      <c r="C90" s="44">
        <f>IF(C27&gt;Inputs!$B$42*C25,C$3,9999)</f>
        <v>9999</v>
      </c>
      <c r="D90" s="44">
        <f>IF(D27&gt;Inputs!$B$42*D25,D$3,9999)</f>
        <v>9999</v>
      </c>
      <c r="E90" s="44">
        <f>IF(E27&gt;Inputs!$B$42*E25,E$3,9999)</f>
        <v>9999</v>
      </c>
      <c r="F90" s="44">
        <f>IF(F27&gt;Inputs!$B$42*F25,F$3,9999)</f>
        <v>9999</v>
      </c>
      <c r="G90" s="44">
        <f>IF(G27&gt;Inputs!$B$42*G25,G$3,9999)</f>
        <v>9999</v>
      </c>
      <c r="H90" s="44">
        <f>IF(H27&gt;Inputs!$B$42*H25,H$3,9999)</f>
        <v>9999</v>
      </c>
      <c r="I90" s="44">
        <f>IF(I27&gt;Inputs!$B$42*I25,I$3,9999)</f>
        <v>9999</v>
      </c>
      <c r="J90" s="44">
        <f>IF(J27&gt;Inputs!$B$42*J25,J$3,9999)</f>
        <v>9999</v>
      </c>
      <c r="K90" s="44">
        <f>IF(K27&gt;Inputs!$B$42*K25,K$3,9999)</f>
        <v>9999</v>
      </c>
      <c r="L90" s="44">
        <f>IF(L27&gt;Inputs!$B$42*L25,L$3,9999)</f>
        <v>9999</v>
      </c>
    </row>
    <row r="91" ht="15.75" customHeight="1">
      <c r="A91" s="43" t="s">
        <v>327</v>
      </c>
      <c r="B91" s="44">
        <f t="shared" ref="B91:L91" si="29">IF(B28&gt;B25,B$3,9999)</f>
        <v>9999</v>
      </c>
      <c r="C91" s="44">
        <f t="shared" si="29"/>
        <v>9999</v>
      </c>
      <c r="D91" s="44">
        <f t="shared" si="29"/>
        <v>9999</v>
      </c>
      <c r="E91" s="44">
        <f t="shared" si="29"/>
        <v>9999</v>
      </c>
      <c r="F91" s="44">
        <f t="shared" si="29"/>
        <v>9999</v>
      </c>
      <c r="G91" s="44">
        <f t="shared" si="29"/>
        <v>9999</v>
      </c>
      <c r="H91" s="44">
        <f t="shared" si="29"/>
        <v>9999</v>
      </c>
      <c r="I91" s="44">
        <f t="shared" si="29"/>
        <v>9999</v>
      </c>
      <c r="J91" s="44">
        <f t="shared" si="29"/>
        <v>9999</v>
      </c>
      <c r="K91" s="44">
        <f t="shared" si="29"/>
        <v>9999</v>
      </c>
      <c r="L91" s="44">
        <f t="shared" si="29"/>
        <v>9999</v>
      </c>
    </row>
    <row r="92" ht="15.75" customHeight="1">
      <c r="A92" s="43" t="s">
        <v>328</v>
      </c>
      <c r="B92" s="44">
        <f>9999</f>
        <v>9999</v>
      </c>
      <c r="C92" s="44">
        <f>IF(C28&gt;Inputs!$B$42*C25,C$3,9999)</f>
        <v>9999</v>
      </c>
      <c r="D92" s="44">
        <f>IF(D28&gt;Inputs!$B$42*D25,D$3,9999)</f>
        <v>9999</v>
      </c>
      <c r="E92" s="44">
        <f>IF(E28&gt;Inputs!$B$42*E25,E$3,9999)</f>
        <v>9999</v>
      </c>
      <c r="F92" s="44">
        <f>IF(F28&gt;Inputs!$B$42*F25,F$3,9999)</f>
        <v>9999</v>
      </c>
      <c r="G92" s="44">
        <f>IF(G28&gt;Inputs!$B$42*G25,G$3,9999)</f>
        <v>9999</v>
      </c>
      <c r="H92" s="44">
        <f>IF(H28&gt;Inputs!$B$42*H25,H$3,9999)</f>
        <v>9999</v>
      </c>
      <c r="I92" s="44">
        <f>IF(I28&gt;Inputs!$B$42*I25,I$3,9999)</f>
        <v>9999</v>
      </c>
      <c r="J92" s="44">
        <f>IF(J28&gt;Inputs!$B$42*J25,J$3,9999)</f>
        <v>9999</v>
      </c>
      <c r="K92" s="44">
        <f>IF(K28&gt;Inputs!$B$42*K25,K$3,9999)</f>
        <v>9999</v>
      </c>
      <c r="L92" s="44">
        <f>IF(L28&gt;Inputs!$B$42*L25,L$3,9999)</f>
        <v>9999</v>
      </c>
    </row>
    <row r="93" ht="15.75" customHeight="1">
      <c r="A93" s="43" t="s">
        <v>329</v>
      </c>
      <c r="B93" s="44">
        <f t="shared" ref="B93:L93" si="30">IF(B29&gt;B25,B$3,9999)</f>
        <v>9999</v>
      </c>
      <c r="C93" s="44">
        <f t="shared" si="30"/>
        <v>9999</v>
      </c>
      <c r="D93" s="44">
        <f t="shared" si="30"/>
        <v>9999</v>
      </c>
      <c r="E93" s="44">
        <f t="shared" si="30"/>
        <v>9999</v>
      </c>
      <c r="F93" s="44">
        <f t="shared" si="30"/>
        <v>9999</v>
      </c>
      <c r="G93" s="44">
        <f t="shared" si="30"/>
        <v>9999</v>
      </c>
      <c r="H93" s="44">
        <f t="shared" si="30"/>
        <v>9999</v>
      </c>
      <c r="I93" s="44">
        <f t="shared" si="30"/>
        <v>9999</v>
      </c>
      <c r="J93" s="44">
        <f t="shared" si="30"/>
        <v>9999</v>
      </c>
      <c r="K93" s="44">
        <f t="shared" si="30"/>
        <v>9999</v>
      </c>
      <c r="L93" s="44">
        <f t="shared" si="30"/>
        <v>9999</v>
      </c>
    </row>
    <row r="94" ht="15.75" customHeight="1">
      <c r="A94" s="43" t="s">
        <v>330</v>
      </c>
      <c r="B94" s="44">
        <f>9999</f>
        <v>9999</v>
      </c>
      <c r="C94" s="44">
        <f>IF(C29&gt;Inputs!$B$42*C25,C$3,9999)</f>
        <v>9999</v>
      </c>
      <c r="D94" s="44">
        <f>IF(D29&gt;Inputs!$B$42*D25,D$3,9999)</f>
        <v>9999</v>
      </c>
      <c r="E94" s="44">
        <f>IF(E29&gt;Inputs!$B$42*E25,E$3,9999)</f>
        <v>9999</v>
      </c>
      <c r="F94" s="44">
        <f>IF(F29&gt;Inputs!$B$42*F25,F$3,9999)</f>
        <v>9999</v>
      </c>
      <c r="G94" s="44">
        <f>IF(G29&gt;Inputs!$B$42*G25,G$3,9999)</f>
        <v>9999</v>
      </c>
      <c r="H94" s="44">
        <f>IF(H29&gt;Inputs!$B$42*H25,H$3,9999)</f>
        <v>9999</v>
      </c>
      <c r="I94" s="44">
        <f>IF(I29&gt;Inputs!$B$42*I25,I$3,9999)</f>
        <v>9999</v>
      </c>
      <c r="J94" s="44">
        <f>IF(J29&gt;Inputs!$B$42*J25,J$3,9999)</f>
        <v>9999</v>
      </c>
      <c r="K94" s="44">
        <f>IF(K29&gt;Inputs!$B$42*K25,K$3,9999)</f>
        <v>9999</v>
      </c>
      <c r="L94" s="44">
        <f>IF(L29&gt;Inputs!$B$42*L25,L$3,9999)</f>
        <v>9999</v>
      </c>
    </row>
    <row r="95" ht="15.75" customHeight="1">
      <c r="A95" s="43" t="s">
        <v>331</v>
      </c>
      <c r="B95" s="44">
        <f t="shared" ref="B95:L95" si="31">IF(B30&gt;B25,B$3,9999)</f>
        <v>9999</v>
      </c>
      <c r="C95" s="44">
        <f t="shared" si="31"/>
        <v>9999</v>
      </c>
      <c r="D95" s="44">
        <f t="shared" si="31"/>
        <v>9999</v>
      </c>
      <c r="E95" s="44">
        <f t="shared" si="31"/>
        <v>9999</v>
      </c>
      <c r="F95" s="44">
        <f t="shared" si="31"/>
        <v>9999</v>
      </c>
      <c r="G95" s="44">
        <f t="shared" si="31"/>
        <v>9999</v>
      </c>
      <c r="H95" s="44">
        <f t="shared" si="31"/>
        <v>9999</v>
      </c>
      <c r="I95" s="44">
        <f t="shared" si="31"/>
        <v>9999</v>
      </c>
      <c r="J95" s="44">
        <f t="shared" si="31"/>
        <v>9999</v>
      </c>
      <c r="K95" s="44">
        <f t="shared" si="31"/>
        <v>9999</v>
      </c>
      <c r="L95" s="44">
        <f t="shared" si="31"/>
        <v>9999</v>
      </c>
    </row>
    <row r="96" ht="15.75" customHeight="1">
      <c r="A96" s="43" t="s">
        <v>332</v>
      </c>
      <c r="B96" s="44">
        <f>9999</f>
        <v>9999</v>
      </c>
      <c r="C96" s="44">
        <f>IF(C30&gt;Inputs!$B$42*C25,C$3,9999)</f>
        <v>9999</v>
      </c>
      <c r="D96" s="44">
        <f>IF(D30&gt;Inputs!$B$42*D25,D$3,9999)</f>
        <v>9999</v>
      </c>
      <c r="E96" s="44">
        <f>IF(E30&gt;Inputs!$B$42*E25,E$3,9999)</f>
        <v>9999</v>
      </c>
      <c r="F96" s="44">
        <f>IF(F30&gt;Inputs!$B$42*F25,F$3,9999)</f>
        <v>9999</v>
      </c>
      <c r="G96" s="44">
        <f>IF(G30&gt;Inputs!$B$42*G25,G$3,9999)</f>
        <v>9999</v>
      </c>
      <c r="H96" s="44">
        <f>IF(H30&gt;Inputs!$B$42*H25,H$3,9999)</f>
        <v>9999</v>
      </c>
      <c r="I96" s="44">
        <f>IF(I30&gt;Inputs!$B$42*I25,I$3,9999)</f>
        <v>9999</v>
      </c>
      <c r="J96" s="44">
        <f>IF(J30&gt;Inputs!$B$42*J25,J$3,9999)</f>
        <v>9999</v>
      </c>
      <c r="K96" s="44">
        <f>IF(K30&gt;Inputs!$B$42*K25,K$3,9999)</f>
        <v>9999</v>
      </c>
      <c r="L96" s="44">
        <f>IF(L30&gt;Inputs!$B$42*L25,L$3,9999)</f>
        <v>9999</v>
      </c>
    </row>
    <row r="97" ht="15.75" customHeight="1">
      <c r="A97" s="43" t="s">
        <v>333</v>
      </c>
      <c r="B97" s="44">
        <f t="shared" ref="B97:L97" si="32">IF(B31&gt;B25,B$3,9999)</f>
        <v>9999</v>
      </c>
      <c r="C97" s="44">
        <f t="shared" si="32"/>
        <v>9999</v>
      </c>
      <c r="D97" s="44">
        <f t="shared" si="32"/>
        <v>9999</v>
      </c>
      <c r="E97" s="44">
        <f t="shared" si="32"/>
        <v>9999</v>
      </c>
      <c r="F97" s="44">
        <f t="shared" si="32"/>
        <v>9999</v>
      </c>
      <c r="G97" s="44">
        <f t="shared" si="32"/>
        <v>9999</v>
      </c>
      <c r="H97" s="44">
        <f t="shared" si="32"/>
        <v>9999</v>
      </c>
      <c r="I97" s="44">
        <f t="shared" si="32"/>
        <v>9999</v>
      </c>
      <c r="J97" s="44">
        <f t="shared" si="32"/>
        <v>9999</v>
      </c>
      <c r="K97" s="44">
        <f t="shared" si="32"/>
        <v>9999</v>
      </c>
      <c r="L97" s="44">
        <f t="shared" si="32"/>
        <v>9999</v>
      </c>
    </row>
    <row r="98" ht="15.75" customHeight="1">
      <c r="A98" s="43" t="s">
        <v>334</v>
      </c>
      <c r="B98" s="44">
        <f>9999</f>
        <v>9999</v>
      </c>
      <c r="C98" s="44">
        <f>IF(C31&gt;Inputs!$B$42*C25,C$3,9999)</f>
        <v>9999</v>
      </c>
      <c r="D98" s="44">
        <f>IF(D31&gt;Inputs!$B$42*D25,D$3,9999)</f>
        <v>9999</v>
      </c>
      <c r="E98" s="44">
        <f>IF(E31&gt;Inputs!$B$42*E25,E$3,9999)</f>
        <v>9999</v>
      </c>
      <c r="F98" s="44">
        <f>IF(F31&gt;Inputs!$B$42*F25,F$3,9999)</f>
        <v>9999</v>
      </c>
      <c r="G98" s="44">
        <f>IF(G31&gt;Inputs!$B$42*G25,G$3,9999)</f>
        <v>9999</v>
      </c>
      <c r="H98" s="44">
        <f>IF(H31&gt;Inputs!$B$42*H25,H$3,9999)</f>
        <v>9999</v>
      </c>
      <c r="I98" s="44">
        <f>IF(I31&gt;Inputs!$B$42*I25,I$3,9999)</f>
        <v>9999</v>
      </c>
      <c r="J98" s="44">
        <f>IF(J31&gt;Inputs!$B$42*J25,J$3,9999)</f>
        <v>9999</v>
      </c>
      <c r="K98" s="44">
        <f>IF(K31&gt;Inputs!$B$42*K25,K$3,9999)</f>
        <v>9999</v>
      </c>
      <c r="L98" s="44">
        <f>IF(L31&gt;Inputs!$B$42*L25,L$3,9999)</f>
        <v>9999</v>
      </c>
    </row>
    <row r="99" ht="15.75" customHeight="1">
      <c r="A99" s="43" t="s">
        <v>335</v>
      </c>
      <c r="B99" s="44">
        <f t="shared" ref="B99:L99" si="33">IF(B32&gt;B25,B$3,9999)</f>
        <v>9999</v>
      </c>
      <c r="C99" s="44">
        <f t="shared" si="33"/>
        <v>2027</v>
      </c>
      <c r="D99" s="44">
        <f t="shared" si="33"/>
        <v>9999</v>
      </c>
      <c r="E99" s="44">
        <f t="shared" si="33"/>
        <v>9999</v>
      </c>
      <c r="F99" s="44">
        <f t="shared" si="33"/>
        <v>9999</v>
      </c>
      <c r="G99" s="44">
        <f t="shared" si="33"/>
        <v>9999</v>
      </c>
      <c r="H99" s="44">
        <f t="shared" si="33"/>
        <v>9999</v>
      </c>
      <c r="I99" s="44">
        <f t="shared" si="33"/>
        <v>9999</v>
      </c>
      <c r="J99" s="44">
        <f t="shared" si="33"/>
        <v>9999</v>
      </c>
      <c r="K99" s="44">
        <f t="shared" si="33"/>
        <v>9999</v>
      </c>
      <c r="L99" s="44">
        <f t="shared" si="33"/>
        <v>9999</v>
      </c>
    </row>
    <row r="100" ht="15.75" customHeight="1">
      <c r="A100" s="43" t="s">
        <v>336</v>
      </c>
      <c r="B100" s="44">
        <f>9999</f>
        <v>9999</v>
      </c>
      <c r="C100" s="44">
        <f>IF(C32&gt;Inputs!$B$42*C25,C$3,9999)</f>
        <v>2027</v>
      </c>
      <c r="D100" s="44">
        <f>IF(D32&gt;Inputs!$B$42*D25,D$3,9999)</f>
        <v>9999</v>
      </c>
      <c r="E100" s="44">
        <f>IF(E32&gt;Inputs!$B$42*E25,E$3,9999)</f>
        <v>9999</v>
      </c>
      <c r="F100" s="44">
        <f>IF(F32&gt;Inputs!$B$42*F25,F$3,9999)</f>
        <v>9999</v>
      </c>
      <c r="G100" s="44">
        <f>IF(G32&gt;Inputs!$B$42*G25,G$3,9999)</f>
        <v>9999</v>
      </c>
      <c r="H100" s="44">
        <f>IF(H32&gt;Inputs!$B$42*H25,H$3,9999)</f>
        <v>9999</v>
      </c>
      <c r="I100" s="44">
        <f>IF(I32&gt;Inputs!$B$42*I25,I$3,9999)</f>
        <v>9999</v>
      </c>
      <c r="J100" s="44">
        <f>IF(J32&gt;Inputs!$B$42*J25,J$3,9999)</f>
        <v>9999</v>
      </c>
      <c r="K100" s="44">
        <f>IF(K32&gt;Inputs!$B$42*K25,K$3,9999)</f>
        <v>9999</v>
      </c>
      <c r="L100" s="44">
        <f>IF(L32&gt;Inputs!$B$42*L25,L$3,9999)</f>
        <v>9999</v>
      </c>
    </row>
    <row r="101" ht="15.75" customHeight="1">
      <c r="A101" s="43" t="s">
        <v>337</v>
      </c>
      <c r="B101" s="44">
        <f t="shared" ref="B101:L101" si="34">IF(B33&gt;B25,B$3,9999)</f>
        <v>9999</v>
      </c>
      <c r="C101" s="44">
        <f t="shared" si="34"/>
        <v>9999</v>
      </c>
      <c r="D101" s="44">
        <f t="shared" si="34"/>
        <v>9999</v>
      </c>
      <c r="E101" s="44">
        <f t="shared" si="34"/>
        <v>9999</v>
      </c>
      <c r="F101" s="44">
        <f t="shared" si="34"/>
        <v>9999</v>
      </c>
      <c r="G101" s="44">
        <f t="shared" si="34"/>
        <v>9999</v>
      </c>
      <c r="H101" s="44">
        <f t="shared" si="34"/>
        <v>9999</v>
      </c>
      <c r="I101" s="44">
        <f t="shared" si="34"/>
        <v>9999</v>
      </c>
      <c r="J101" s="44">
        <f t="shared" si="34"/>
        <v>9999</v>
      </c>
      <c r="K101" s="44">
        <f t="shared" si="34"/>
        <v>9999</v>
      </c>
      <c r="L101" s="44">
        <f t="shared" si="34"/>
        <v>9999</v>
      </c>
    </row>
    <row r="102" ht="15.75" customHeight="1">
      <c r="A102" s="43" t="s">
        <v>338</v>
      </c>
      <c r="B102" s="44">
        <f>9999</f>
        <v>9999</v>
      </c>
      <c r="C102" s="44">
        <f>IF(C33&gt;Inputs!$B$42*C25,C$3,9999)</f>
        <v>9999</v>
      </c>
      <c r="D102" s="44">
        <f>IF(D33&gt;Inputs!$B$42*D25,D$3,9999)</f>
        <v>9999</v>
      </c>
      <c r="E102" s="44">
        <f>IF(E33&gt;Inputs!$B$42*E25,E$3,9999)</f>
        <v>9999</v>
      </c>
      <c r="F102" s="44">
        <f>IF(F33&gt;Inputs!$B$42*F25,F$3,9999)</f>
        <v>9999</v>
      </c>
      <c r="G102" s="44">
        <f>IF(G33&gt;Inputs!$B$42*G25,G$3,9999)</f>
        <v>9999</v>
      </c>
      <c r="H102" s="44">
        <f>IF(H33&gt;Inputs!$B$42*H25,H$3,9999)</f>
        <v>9999</v>
      </c>
      <c r="I102" s="44">
        <f>IF(I33&gt;Inputs!$B$42*I25,I$3,9999)</f>
        <v>9999</v>
      </c>
      <c r="J102" s="44">
        <f>IF(J33&gt;Inputs!$B$42*J25,J$3,9999)</f>
        <v>9999</v>
      </c>
      <c r="K102" s="44">
        <f>IF(K33&gt;Inputs!$B$42*K25,K$3,9999)</f>
        <v>9999</v>
      </c>
      <c r="L102" s="44">
        <f>IF(L33&gt;Inputs!$B$42*L25,L$3,9999)</f>
        <v>9999</v>
      </c>
    </row>
    <row r="103" ht="15.75" customHeight="1">
      <c r="A103" s="43" t="s">
        <v>339</v>
      </c>
      <c r="B103" s="44">
        <f t="shared" ref="B103:L103" si="35">IF(B34&gt;B25,B$3,9999)</f>
        <v>9999</v>
      </c>
      <c r="C103" s="44">
        <f t="shared" si="35"/>
        <v>9999</v>
      </c>
      <c r="D103" s="44">
        <f t="shared" si="35"/>
        <v>9999</v>
      </c>
      <c r="E103" s="44">
        <f t="shared" si="35"/>
        <v>9999</v>
      </c>
      <c r="F103" s="44">
        <f t="shared" si="35"/>
        <v>9999</v>
      </c>
      <c r="G103" s="44">
        <f t="shared" si="35"/>
        <v>9999</v>
      </c>
      <c r="H103" s="44">
        <f t="shared" si="35"/>
        <v>9999</v>
      </c>
      <c r="I103" s="44">
        <f t="shared" si="35"/>
        <v>9999</v>
      </c>
      <c r="J103" s="44">
        <f t="shared" si="35"/>
        <v>9999</v>
      </c>
      <c r="K103" s="44">
        <f t="shared" si="35"/>
        <v>9999</v>
      </c>
      <c r="L103" s="44">
        <f t="shared" si="35"/>
        <v>9999</v>
      </c>
    </row>
    <row r="104" ht="15.75" customHeight="1">
      <c r="A104" s="43" t="s">
        <v>340</v>
      </c>
      <c r="B104" s="44">
        <f>9999</f>
        <v>9999</v>
      </c>
      <c r="C104" s="44">
        <f>IF(C34&gt;Inputs!$B$42*C25,C$3,9999)</f>
        <v>9999</v>
      </c>
      <c r="D104" s="44">
        <f>IF(D34&gt;Inputs!$B$42*D25,D$3,9999)</f>
        <v>9999</v>
      </c>
      <c r="E104" s="44">
        <f>IF(E34&gt;Inputs!$B$42*E25,E$3,9999)</f>
        <v>9999</v>
      </c>
      <c r="F104" s="44">
        <f>IF(F34&gt;Inputs!$B$42*F25,F$3,9999)</f>
        <v>9999</v>
      </c>
      <c r="G104" s="44">
        <f>IF(G34&gt;Inputs!$B$42*G25,G$3,9999)</f>
        <v>9999</v>
      </c>
      <c r="H104" s="44">
        <f>IF(H34&gt;Inputs!$B$42*H25,H$3,9999)</f>
        <v>9999</v>
      </c>
      <c r="I104" s="44">
        <f>IF(I34&gt;Inputs!$B$42*I25,I$3,9999)</f>
        <v>9999</v>
      </c>
      <c r="J104" s="44">
        <f>IF(J34&gt;Inputs!$B$42*J25,J$3,9999)</f>
        <v>9999</v>
      </c>
      <c r="K104" s="44">
        <f>IF(K34&gt;Inputs!$B$42*K25,K$3,9999)</f>
        <v>9999</v>
      </c>
      <c r="L104" s="44">
        <f>IF(L34&gt;Inputs!$B$42*L25,L$3,9999)</f>
        <v>9999</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6.0"/>
    <col customWidth="1" min="2" max="4" width="16.0"/>
    <col customWidth="1" min="5" max="26" width="8.71"/>
  </cols>
  <sheetData>
    <row r="1">
      <c r="A1" s="1" t="s">
        <v>2</v>
      </c>
    </row>
    <row r="2">
      <c r="A2" s="2" t="s">
        <v>4</v>
      </c>
    </row>
    <row r="4">
      <c r="A4" s="6" t="s">
        <v>8</v>
      </c>
      <c r="B4" s="8"/>
      <c r="C4" s="8"/>
      <c r="D4" s="8"/>
    </row>
    <row r="5">
      <c r="A5" s="9" t="s">
        <v>13</v>
      </c>
      <c r="B5" s="9" t="s">
        <v>15</v>
      </c>
      <c r="C5" s="9" t="s">
        <v>16</v>
      </c>
      <c r="D5" s="9" t="s">
        <v>18</v>
      </c>
    </row>
    <row r="6">
      <c r="A6" s="12" t="s">
        <v>21</v>
      </c>
      <c r="B6" s="20" t="str">
        <f>IF(MIN('North America'!$B$57:$L$57)=9999,"None by 2036",MIN('North America'!$B$57:$L$57))</f>
        <v>None by 2036</v>
      </c>
      <c r="C6" s="20" t="str">
        <f>IF(MIN('North America'!$B$73:$L$73)=9999,"None by 2036",MIN('North America'!$B$73:$L$73))</f>
        <v>None by 2036</v>
      </c>
      <c r="D6" s="20" t="str">
        <f>IF(MIN('North America'!$B$89:$L$89)=9999,"None by 2036",MIN('North America'!$B$89:$L$89))</f>
        <v>None by 2036</v>
      </c>
    </row>
    <row r="7">
      <c r="A7" s="12" t="s">
        <v>90</v>
      </c>
      <c r="B7" s="20" t="str">
        <f>IF(MIN('North America'!$B$59:$L$59)=9999,"None by 2036",MIN('North America'!$B$59:$L$59))</f>
        <v>None by 2036</v>
      </c>
      <c r="C7" s="20" t="str">
        <f>IF(MIN('North America'!$B$75:$L$75)=9999,"None by 2036",MIN('North America'!$B$75:$L$75))</f>
        <v>None by 2036</v>
      </c>
      <c r="D7" s="20" t="str">
        <f>IF(MIN('North America'!$B$91:$L$91)=9999,"None by 2036",MIN('North America'!$B$91:$L$91))</f>
        <v>None by 2036</v>
      </c>
    </row>
    <row r="8">
      <c r="A8" s="12" t="s">
        <v>103</v>
      </c>
      <c r="B8" s="20" t="str">
        <f>IF(MIN('North America'!$B$61:$L$61)=9999,"None by 2036",MIN('North America'!$B$61:$L$61))</f>
        <v>None by 2036</v>
      </c>
      <c r="C8" s="20" t="str">
        <f>IF(MIN('North America'!$B$77:$L$77)=9999,"None by 2036",MIN('North America'!$B$77:$L$77))</f>
        <v>None by 2036</v>
      </c>
      <c r="D8" s="20" t="str">
        <f>IF(MIN('North America'!$B$93:$L$93)=9999,"None by 2036",MIN('North America'!$B$93:$L$93))</f>
        <v>None by 2036</v>
      </c>
    </row>
    <row r="9">
      <c r="A9" s="12" t="s">
        <v>125</v>
      </c>
      <c r="B9" s="20">
        <f>IF(MIN('North America'!$B$63:$L$63)=9999,"None by 2036",MIN('North America'!$B$63:$L$63))</f>
        <v>2027</v>
      </c>
      <c r="C9" s="20" t="str">
        <f>IF(MIN('North America'!$B$79:$L$79)=9999,"None by 2036",MIN('North America'!$B$79:$L$79))</f>
        <v>None by 2036</v>
      </c>
      <c r="D9" s="20" t="str">
        <f>IF(MIN('North America'!$B$95:$L$95)=9999,"None by 2036",MIN('North America'!$B$95:$L$95))</f>
        <v>None by 2036</v>
      </c>
    </row>
    <row r="10">
      <c r="A10" s="12" t="s">
        <v>146</v>
      </c>
      <c r="B10" s="20">
        <f>IF(MIN('North America'!$B$65:$L$65)=9999,"None by 2036",MIN('North America'!$B$65:$L$65))</f>
        <v>2027</v>
      </c>
      <c r="C10" s="20">
        <f>IF(MIN('North America'!$B$81:$L$81)=9999,"None by 2036",MIN('North America'!$B$81:$L$81))</f>
        <v>2028</v>
      </c>
      <c r="D10" s="20" t="str">
        <f>IF(MIN('North America'!$B$97:$L$97)=9999,"None by 2036",MIN('North America'!$B$97:$L$97))</f>
        <v>None by 2036</v>
      </c>
    </row>
    <row r="11">
      <c r="A11" s="12" t="s">
        <v>176</v>
      </c>
      <c r="B11" s="20">
        <f>IF(MIN('North America'!$B$67:$L$67)=9999,"None by 2036",MIN('North America'!$B$67:$L$67))</f>
        <v>2027</v>
      </c>
      <c r="C11" s="20">
        <f>IF(MIN('North America'!$B$83:$L$83)=9999,"None by 2036",MIN('North America'!$B$83:$L$83))</f>
        <v>2027</v>
      </c>
      <c r="D11" s="20">
        <f>IF(MIN('North America'!$B$99:$L$99)=9999,"None by 2036",MIN('North America'!$B$99:$L$99))</f>
        <v>2027</v>
      </c>
    </row>
    <row r="12">
      <c r="A12" s="12" t="s">
        <v>184</v>
      </c>
      <c r="B12" s="20">
        <f>IF(MIN('North America'!$B$69:$L$69)=9999,"None by 2036",MIN('North America'!$B$69:$L$69))</f>
        <v>2027</v>
      </c>
      <c r="C12" s="20">
        <f>IF(MIN('North America'!$B$85:$L$85)=9999,"None by 2036",MIN('North America'!$B$85:$L$85))</f>
        <v>2029</v>
      </c>
      <c r="D12" s="20" t="str">
        <f>IF(MIN('North America'!$B$101:$L$101)=9999,"None by 2036",MIN('North America'!$B$101:$L$101))</f>
        <v>None by 2036</v>
      </c>
    </row>
    <row r="13">
      <c r="A13" s="12" t="s">
        <v>186</v>
      </c>
      <c r="B13" s="20" t="str">
        <f>IF(MIN('North America'!$B$71:$L$71)=9999,"None by 2036",MIN('North America'!$B$71:$L$71))</f>
        <v>None by 2036</v>
      </c>
      <c r="C13" s="20" t="str">
        <f>IF(MIN('North America'!$B$87:$L$87)=9999,"None by 2036",MIN('North America'!$B$87:$L$87))</f>
        <v>None by 2036</v>
      </c>
      <c r="D13" s="20" t="str">
        <f>IF(MIN('North America'!$B$103:$L$103)=9999,"None by 2036",MIN('North America'!$B$103:$L$103))</f>
        <v>None by 2036</v>
      </c>
    </row>
    <row r="15">
      <c r="A15" s="6" t="s">
        <v>216</v>
      </c>
      <c r="B15" s="8"/>
      <c r="C15" s="8"/>
      <c r="D15" s="8"/>
    </row>
    <row r="16">
      <c r="A16" s="9" t="s">
        <v>13</v>
      </c>
      <c r="B16" s="9" t="s">
        <v>15</v>
      </c>
      <c r="C16" s="9" t="s">
        <v>16</v>
      </c>
      <c r="D16" s="9" t="s">
        <v>18</v>
      </c>
    </row>
    <row r="17">
      <c r="A17" s="12" t="s">
        <v>21</v>
      </c>
      <c r="B17" s="20" t="str">
        <f>IF(MIN('North America'!$B$58:$L$58)=9999,"None by 2036",MIN('North America'!$B$58:$L$58))</f>
        <v>None by 2036</v>
      </c>
      <c r="C17" s="20" t="str">
        <f>IF(MIN('North America'!$B$74:$L$74)=9999,"None by 2036",MIN('North America'!$B$74:$L$74))</f>
        <v>None by 2036</v>
      </c>
      <c r="D17" s="20" t="str">
        <f>IF(MIN('North America'!$B$90:$L$90)=9999,"None by 2036",MIN('North America'!$B$90:$L$90))</f>
        <v>None by 2036</v>
      </c>
    </row>
    <row r="18">
      <c r="A18" s="12" t="s">
        <v>90</v>
      </c>
      <c r="B18" s="20" t="str">
        <f>IF(MIN('North America'!$B$60:$L$60)=9999,"None by 2036",MIN('North America'!$B$60:$L$60))</f>
        <v>None by 2036</v>
      </c>
      <c r="C18" s="20" t="str">
        <f>IF(MIN('North America'!$B$76:$L$76)=9999,"None by 2036",MIN('North America'!$B$76:$L$76))</f>
        <v>None by 2036</v>
      </c>
      <c r="D18" s="20" t="str">
        <f>IF(MIN('North America'!$B$92:$L$92)=9999,"None by 2036",MIN('North America'!$B$92:$L$92))</f>
        <v>None by 2036</v>
      </c>
    </row>
    <row r="19">
      <c r="A19" s="12" t="s">
        <v>103</v>
      </c>
      <c r="B19" s="20">
        <f>IF(MIN('North America'!$B$62:$L$62)=9999,"None by 2036",MIN('North America'!$B$62:$L$62))</f>
        <v>2028</v>
      </c>
      <c r="C19" s="20" t="str">
        <f>IF(MIN('North America'!$B$78:$L$78)=9999,"None by 2036",MIN('North America'!$B$78:$L$78))</f>
        <v>None by 2036</v>
      </c>
      <c r="D19" s="20" t="str">
        <f>IF(MIN('North America'!$B$94:$L$94)=9999,"None by 2036",MIN('North America'!$B$94:$L$94))</f>
        <v>None by 2036</v>
      </c>
    </row>
    <row r="20">
      <c r="A20" s="12" t="s">
        <v>125</v>
      </c>
      <c r="B20" s="20">
        <f>IF(MIN('North America'!$B$64:$L$64)=9999,"None by 2036",MIN('North America'!$B$64:$L$64))</f>
        <v>2027</v>
      </c>
      <c r="C20" s="20" t="str">
        <f>IF(MIN('North America'!$B$80:$L$80)=9999,"None by 2036",MIN('North America'!$B$80:$L$80))</f>
        <v>None by 2036</v>
      </c>
      <c r="D20" s="20" t="str">
        <f>IF(MIN('North America'!$B$96:$L$96)=9999,"None by 2036",MIN('North America'!$B$96:$L$96))</f>
        <v>None by 2036</v>
      </c>
    </row>
    <row r="21" ht="15.75" customHeight="1">
      <c r="A21" s="12" t="s">
        <v>146</v>
      </c>
      <c r="B21" s="20">
        <f>IF(MIN('North America'!$B$66:$L$66)=9999,"None by 2036",MIN('North America'!$B$66:$L$66))</f>
        <v>2027</v>
      </c>
      <c r="C21" s="20">
        <f>IF(MIN('North America'!$B$82:$L$82)=9999,"None by 2036",MIN('North America'!$B$82:$L$82))</f>
        <v>2028</v>
      </c>
      <c r="D21" s="20" t="str">
        <f>IF(MIN('North America'!$B$98:$L$98)=9999,"None by 2036",MIN('North America'!$B$98:$L$98))</f>
        <v>None by 2036</v>
      </c>
    </row>
    <row r="22" ht="15.75" customHeight="1">
      <c r="A22" s="12" t="s">
        <v>176</v>
      </c>
      <c r="B22" s="20">
        <f>IF(MIN('North America'!$B$68:$L$68)=9999,"None by 2036",MIN('North America'!$B$68:$L$68))</f>
        <v>2027</v>
      </c>
      <c r="C22" s="20">
        <f>IF(MIN('North America'!$B$84:$L$84)=9999,"None by 2036",MIN('North America'!$B$84:$L$84))</f>
        <v>2027</v>
      </c>
      <c r="D22" s="20">
        <f>IF(MIN('North America'!$B$100:$L$100)=9999,"None by 2036",MIN('North America'!$B$100:$L$100))</f>
        <v>2027</v>
      </c>
    </row>
    <row r="23" ht="15.75" customHeight="1">
      <c r="A23" s="12" t="s">
        <v>184</v>
      </c>
      <c r="B23" s="20">
        <f>IF(MIN('North America'!$B$70:$L$70)=9999,"None by 2036",MIN('North America'!$B$70:$L$70))</f>
        <v>2027</v>
      </c>
      <c r="C23" s="20">
        <f>IF(MIN('North America'!$B$86:$L$86)=9999,"None by 2036",MIN('North America'!$B$86:$L$86))</f>
        <v>2028</v>
      </c>
      <c r="D23" s="20" t="str">
        <f>IF(MIN('North America'!$B$102:$L$102)=9999,"None by 2036",MIN('North America'!$B$102:$L$102))</f>
        <v>None by 2036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0.0"/>
    <col customWidth="1" min="2" max="2" width="16.0"/>
    <col customWidth="1" min="3" max="3" width="8.43"/>
    <col customWidth="1" min="4" max="26" width="8.71"/>
  </cols>
  <sheetData>
    <row r="1">
      <c r="A1" s="1" t="s">
        <v>202</v>
      </c>
    </row>
    <row r="2" ht="67.5" customHeight="1">
      <c r="A2" s="7" t="s">
        <v>204</v>
      </c>
    </row>
    <row r="4">
      <c r="A4" s="9" t="s">
        <v>205</v>
      </c>
      <c r="B4" s="9" t="s">
        <v>45</v>
      </c>
    </row>
    <row r="5">
      <c r="A5" s="12" t="str">
        <f>"Shortage (demand above 100% of capacity) by "&amp;Inputs!$B$84</f>
        <v>Shortage (demand above 100% of capacity) by 2031</v>
      </c>
      <c r="B5" s="34">
        <f>(Inputs!$B$71*Inputs!$B$80*IF(ISNUMBER(Matrix!B6),IF(Matrix!B6&lt;=Inputs!$B$84,1,0),0)+Inputs!$B$71*Inputs!$B$81*IF(ISNUMBER(Matrix!C6),IF(Matrix!C6&lt;=Inputs!$B$84,1,0),0)+Inputs!$B$71*Inputs!$B$82*IF(ISNUMBER(Matrix!D6),IF(Matrix!D6&lt;=Inputs!$B$84,1,0),0)+Inputs!$B$72*Inputs!$B$80*IF(ISNUMBER(Matrix!B7),IF(Matrix!B7&lt;=Inputs!$B$84,1,0),0)+Inputs!$B$72*Inputs!$B$81*IF(ISNUMBER(Matrix!C7),IF(Matrix!C7&lt;=Inputs!$B$84,1,0),0)+Inputs!$B$72*Inputs!$B$82*IF(ISNUMBER(Matrix!D7),IF(Matrix!D7&lt;=Inputs!$B$84,1,0),0)+Inputs!$B$73*Inputs!$B$80*IF(ISNUMBER(Matrix!B8),IF(Matrix!B8&lt;=Inputs!$B$84,1,0),0)+Inputs!$B$73*Inputs!$B$81*IF(ISNUMBER(Matrix!C8),IF(Matrix!C8&lt;=Inputs!$B$84,1,0),0)+Inputs!$B$73*Inputs!$B$82*IF(ISNUMBER(Matrix!D8),IF(Matrix!D8&lt;=Inputs!$B$84,1,0),0)+Inputs!$B$74*Inputs!$B$80*IF(ISNUMBER(Matrix!B9),IF(Matrix!B9&lt;=Inputs!$B$84,1,0),0)+Inputs!$B$74*Inputs!$B$81*IF(ISNUMBER(Matrix!C9),IF(Matrix!C9&lt;=Inputs!$B$84,1,0),0)+Inputs!$B$74*Inputs!$B$82*IF(ISNUMBER(Matrix!D9),IF(Matrix!D9&lt;=Inputs!$B$84,1,0),0)+Inputs!$B$76*Inputs!$B$80*IF(ISNUMBER(Matrix!B11),IF(Matrix!B11&lt;=Inputs!$B$84,1,0),0)+Inputs!$B$76*Inputs!$B$81*IF(ISNUMBER(Matrix!C11),IF(Matrix!C11&lt;=Inputs!$B$84,1,0),0)+Inputs!$B$76*Inputs!$B$82*IF(ISNUMBER(Matrix!D11),IF(Matrix!D11&lt;=Inputs!$B$84,1,0),0)+Inputs!$B$77*Inputs!$B$80*IF(ISNUMBER(Matrix!B12),IF(Matrix!B12&lt;=Inputs!$B$84,1,0),0)+Inputs!$B$77*Inputs!$B$81*IF(ISNUMBER(Matrix!C12),IF(Matrix!C12&lt;=Inputs!$B$84,1,0),0)+Inputs!$B$77*Inputs!$B$82*IF(ISNUMBER(Matrix!D12),IF(Matrix!D12&lt;=Inputs!$B$84,1,0),0)+Inputs!$B$78*Inputs!$B$80*IF(ISNUMBER(Matrix!B13),IF(Matrix!B13&lt;=Inputs!$B$84,1,0),0)+Inputs!$B$78*Inputs!$B$81*IF(ISNUMBER(Matrix!C13),IF(Matrix!C13&lt;=Inputs!$B$84,1,0),0)+Inputs!$B$78*Inputs!$B$82*IF(ISNUMBER(Matrix!D13),IF(Matrix!D13&lt;=Inputs!$B$84,1,0),0)+Inputs!$B$75*Inputs!$B$80*IF(ISNUMBER(Matrix!B10),IF(Matrix!B10&lt;=Inputs!$B$84,1,0),0)+Inputs!$B$75*Inputs!$B$81*IF(ISNUMBER(Matrix!C10),IF(Matrix!C10&lt;=Inputs!$B$84,1,0),0)+Inputs!$B$75*Inputs!$B$82*IF(ISNUMBER(Matrix!D10),IF(Matrix!D10&lt;=Inputs!$B$84,1,0),0))/(SUM(Inputs!$B$71:$B$78)*SUM(Inputs!$B$80:$B$82))</f>
        <v>0.425</v>
      </c>
    </row>
    <row r="6">
      <c r="A6" s="12" t="str">
        <f>"Squeeze or worse (demand above the squeeze line) by "&amp;Inputs!$B$84</f>
        <v>Squeeze or worse (demand above the squeeze line) by 2031</v>
      </c>
      <c r="B6" s="34">
        <f>(Inputs!$B$71*Inputs!$B$80*IF(ISNUMBER(Matrix!B17),IF(Matrix!B17&lt;=Inputs!$B$84,1,0),0)+Inputs!$B$71*Inputs!$B$81*IF(ISNUMBER(Matrix!C17),IF(Matrix!C17&lt;=Inputs!$B$84,1,0),0)+Inputs!$B$71*Inputs!$B$82*IF(ISNUMBER(Matrix!D17),IF(Matrix!D17&lt;=Inputs!$B$84,1,0),0)+Inputs!$B$72*Inputs!$B$80*IF(ISNUMBER(Matrix!B18),IF(Matrix!B18&lt;=Inputs!$B$84,1,0),0)+Inputs!$B$72*Inputs!$B$81*IF(ISNUMBER(Matrix!C18),IF(Matrix!C18&lt;=Inputs!$B$84,1,0),0)+Inputs!$B$72*Inputs!$B$82*IF(ISNUMBER(Matrix!D18),IF(Matrix!D18&lt;=Inputs!$B$84,1,0),0)+Inputs!$B$73*Inputs!$B$80*IF(ISNUMBER(Matrix!B19),IF(Matrix!B19&lt;=Inputs!$B$84,1,0),0)+Inputs!$B$73*Inputs!$B$81*IF(ISNUMBER(Matrix!C19),IF(Matrix!C19&lt;=Inputs!$B$84,1,0),0)+Inputs!$B$73*Inputs!$B$82*IF(ISNUMBER(Matrix!D19),IF(Matrix!D19&lt;=Inputs!$B$84,1,0),0)+Inputs!$B$74*Inputs!$B$80*IF(ISNUMBER(Matrix!B20),IF(Matrix!B20&lt;=Inputs!$B$84,1,0),0)+Inputs!$B$74*Inputs!$B$81*IF(ISNUMBER(Matrix!C20),IF(Matrix!C20&lt;=Inputs!$B$84,1,0),0)+Inputs!$B$74*Inputs!$B$82*IF(ISNUMBER(Matrix!D20),IF(Matrix!D20&lt;=Inputs!$B$84,1,0),0)+Inputs!$B$76*Inputs!$B$80*IF(ISNUMBER(Matrix!B22),IF(Matrix!B22&lt;=Inputs!$B$84,1,0),0)+Inputs!$B$76*Inputs!$B$81*IF(ISNUMBER(Matrix!C22),IF(Matrix!C22&lt;=Inputs!$B$84,1,0),0)+Inputs!$B$76*Inputs!$B$82*IF(ISNUMBER(Matrix!D22),IF(Matrix!D22&lt;=Inputs!$B$84,1,0),0)+Inputs!$B$77*Inputs!$B$80*IF(ISNUMBER(Matrix!B23),IF(Matrix!B23&lt;=Inputs!$B$84,1,0),0)+Inputs!$B$77*Inputs!$B$81*IF(ISNUMBER(Matrix!C23),IF(Matrix!C23&lt;=Inputs!$B$84,1,0),0)+Inputs!$B$77*Inputs!$B$82*IF(ISNUMBER(Matrix!D23),IF(Matrix!D23&lt;=Inputs!$B$84,1,0),0)+Inputs!$B$78*Inputs!$B$80*IF(ISNUMBER(Matrix!B24),IF(Matrix!B24&lt;=Inputs!$B$84,1,0),0)+Inputs!$B$78*Inputs!$B$81*IF(ISNUMBER(Matrix!C24),IF(Matrix!C24&lt;=Inputs!$B$84,1,0),0)+Inputs!$B$78*Inputs!$B$82*IF(ISNUMBER(Matrix!D24),IF(Matrix!D24&lt;=Inputs!$B$84,1,0),0)+Inputs!$B$75*Inputs!$B$80*IF(ISNUMBER(Matrix!B21),IF(Matrix!B21&lt;=Inputs!$B$84,1,0),0)+Inputs!$B$75*Inputs!$B$81*IF(ISNUMBER(Matrix!C21),IF(Matrix!C21&lt;=Inputs!$B$84,1,0),0)+Inputs!$B$75*Inputs!$B$82*IF(ISNUMBER(Matrix!D21),IF(Matrix!D21&lt;=Inputs!$B$84,1,0),0))/(SUM(Inputs!$B$71:$B$78)*SUM(Inputs!$B$80:$B$82))</f>
        <v>0.47</v>
      </c>
    </row>
    <row r="8">
      <c r="A8" s="12" t="s">
        <v>252</v>
      </c>
      <c r="B8" s="39">
        <f>'North America'!B38</f>
        <v>0.602816358</v>
      </c>
    </row>
    <row r="10">
      <c r="A10" s="9" t="s">
        <v>253</v>
      </c>
      <c r="B10" s="9" t="s">
        <v>45</v>
      </c>
    </row>
    <row r="11">
      <c r="A11" s="12" t="str">
        <f>"Shortage (demand above 100% of capacity) by "&amp;Inputs!$B$85</f>
        <v>Shortage (demand above 100% of capacity) by 2028</v>
      </c>
      <c r="B11" s="34">
        <f>(Inputs!$B$71*Inputs!$B$80*IF(ISNUMBER(Matrix!B6),IF(Matrix!B6&lt;=Inputs!$B$85,1,0),0)+Inputs!$B$71*Inputs!$B$81*IF(ISNUMBER(Matrix!C6),IF(Matrix!C6&lt;=Inputs!$B$85,1,0),0)+Inputs!$B$71*Inputs!$B$82*IF(ISNUMBER(Matrix!D6),IF(Matrix!D6&lt;=Inputs!$B$85,1,0),0)+Inputs!$B$72*Inputs!$B$80*IF(ISNUMBER(Matrix!B7),IF(Matrix!B7&lt;=Inputs!$B$85,1,0),0)+Inputs!$B$72*Inputs!$B$81*IF(ISNUMBER(Matrix!C7),IF(Matrix!C7&lt;=Inputs!$B$85,1,0),0)+Inputs!$B$72*Inputs!$B$82*IF(ISNUMBER(Matrix!D7),IF(Matrix!D7&lt;=Inputs!$B$85,1,0),0)+Inputs!$B$73*Inputs!$B$80*IF(ISNUMBER(Matrix!B8),IF(Matrix!B8&lt;=Inputs!$B$85,1,0),0)+Inputs!$B$73*Inputs!$B$81*IF(ISNUMBER(Matrix!C8),IF(Matrix!C8&lt;=Inputs!$B$85,1,0),0)+Inputs!$B$73*Inputs!$B$82*IF(ISNUMBER(Matrix!D8),IF(Matrix!D8&lt;=Inputs!$B$85,1,0),0)+Inputs!$B$74*Inputs!$B$80*IF(ISNUMBER(Matrix!B9),IF(Matrix!B9&lt;=Inputs!$B$85,1,0),0)+Inputs!$B$74*Inputs!$B$81*IF(ISNUMBER(Matrix!C9),IF(Matrix!C9&lt;=Inputs!$B$85,1,0),0)+Inputs!$B$74*Inputs!$B$82*IF(ISNUMBER(Matrix!D9),IF(Matrix!D9&lt;=Inputs!$B$85,1,0),0)+Inputs!$B$76*Inputs!$B$80*IF(ISNUMBER(Matrix!B11),IF(Matrix!B11&lt;=Inputs!$B$85,1,0),0)+Inputs!$B$76*Inputs!$B$81*IF(ISNUMBER(Matrix!C11),IF(Matrix!C11&lt;=Inputs!$B$85,1,0),0)+Inputs!$B$76*Inputs!$B$82*IF(ISNUMBER(Matrix!D11),IF(Matrix!D11&lt;=Inputs!$B$85,1,0),0)+Inputs!$B$77*Inputs!$B$80*IF(ISNUMBER(Matrix!B12),IF(Matrix!B12&lt;=Inputs!$B$85,1,0),0)+Inputs!$B$77*Inputs!$B$81*IF(ISNUMBER(Matrix!C12),IF(Matrix!C12&lt;=Inputs!$B$85,1,0),0)+Inputs!$B$77*Inputs!$B$82*IF(ISNUMBER(Matrix!D12),IF(Matrix!D12&lt;=Inputs!$B$85,1,0),0)+Inputs!$B$78*Inputs!$B$80*IF(ISNUMBER(Matrix!B13),IF(Matrix!B13&lt;=Inputs!$B$85,1,0),0)+Inputs!$B$78*Inputs!$B$81*IF(ISNUMBER(Matrix!C13),IF(Matrix!C13&lt;=Inputs!$B$85,1,0),0)+Inputs!$B$78*Inputs!$B$82*IF(ISNUMBER(Matrix!D13),IF(Matrix!D13&lt;=Inputs!$B$85,1,0),0)+Inputs!$B$75*Inputs!$B$80*IF(ISNUMBER(Matrix!B10),IF(Matrix!B10&lt;=Inputs!$B$85,1,0),0)+Inputs!$B$75*Inputs!$B$81*IF(ISNUMBER(Matrix!C10),IF(Matrix!C10&lt;=Inputs!$B$85,1,0),0)+Inputs!$B$75*Inputs!$B$82*IF(ISNUMBER(Matrix!D10),IF(Matrix!D10&lt;=Inputs!$B$85,1,0),0))/(SUM(Inputs!$B$71:$B$78)*SUM(Inputs!$B$80:$B$82))</f>
        <v>0.4</v>
      </c>
    </row>
    <row r="12">
      <c r="A12" s="12" t="str">
        <f>"Squeeze or worse (demand above the squeeze line) by "&amp;Inputs!$B$85</f>
        <v>Squeeze or worse (demand above the squeeze line) by 2028</v>
      </c>
      <c r="B12" s="34">
        <f>(Inputs!$B$71*Inputs!$B$80*IF(ISNUMBER(Matrix!B17),IF(Matrix!B17&lt;=Inputs!$B$85,1,0),0)+Inputs!$B$71*Inputs!$B$81*IF(ISNUMBER(Matrix!C17),IF(Matrix!C17&lt;=Inputs!$B$85,1,0),0)+Inputs!$B$71*Inputs!$B$82*IF(ISNUMBER(Matrix!D17),IF(Matrix!D17&lt;=Inputs!$B$85,1,0),0)+Inputs!$B$72*Inputs!$B$80*IF(ISNUMBER(Matrix!B18),IF(Matrix!B18&lt;=Inputs!$B$85,1,0),0)+Inputs!$B$72*Inputs!$B$81*IF(ISNUMBER(Matrix!C18),IF(Matrix!C18&lt;=Inputs!$B$85,1,0),0)+Inputs!$B$72*Inputs!$B$82*IF(ISNUMBER(Matrix!D18),IF(Matrix!D18&lt;=Inputs!$B$85,1,0),0)+Inputs!$B$73*Inputs!$B$80*IF(ISNUMBER(Matrix!B19),IF(Matrix!B19&lt;=Inputs!$B$85,1,0),0)+Inputs!$B$73*Inputs!$B$81*IF(ISNUMBER(Matrix!C19),IF(Matrix!C19&lt;=Inputs!$B$85,1,0),0)+Inputs!$B$73*Inputs!$B$82*IF(ISNUMBER(Matrix!D19),IF(Matrix!D19&lt;=Inputs!$B$85,1,0),0)+Inputs!$B$74*Inputs!$B$80*IF(ISNUMBER(Matrix!B20),IF(Matrix!B20&lt;=Inputs!$B$85,1,0),0)+Inputs!$B$74*Inputs!$B$81*IF(ISNUMBER(Matrix!C20),IF(Matrix!C20&lt;=Inputs!$B$85,1,0),0)+Inputs!$B$74*Inputs!$B$82*IF(ISNUMBER(Matrix!D20),IF(Matrix!D20&lt;=Inputs!$B$85,1,0),0)+Inputs!$B$76*Inputs!$B$80*IF(ISNUMBER(Matrix!B22),IF(Matrix!B22&lt;=Inputs!$B$85,1,0),0)+Inputs!$B$76*Inputs!$B$81*IF(ISNUMBER(Matrix!C22),IF(Matrix!C22&lt;=Inputs!$B$85,1,0),0)+Inputs!$B$76*Inputs!$B$82*IF(ISNUMBER(Matrix!D22),IF(Matrix!D22&lt;=Inputs!$B$85,1,0),0)+Inputs!$B$77*Inputs!$B$80*IF(ISNUMBER(Matrix!B23),IF(Matrix!B23&lt;=Inputs!$B$85,1,0),0)+Inputs!$B$77*Inputs!$B$81*IF(ISNUMBER(Matrix!C23),IF(Matrix!C23&lt;=Inputs!$B$85,1,0),0)+Inputs!$B$77*Inputs!$B$82*IF(ISNUMBER(Matrix!D23),IF(Matrix!D23&lt;=Inputs!$B$85,1,0),0)+Inputs!$B$78*Inputs!$B$80*IF(ISNUMBER(Matrix!B24),IF(Matrix!B24&lt;=Inputs!$B$85,1,0),0)+Inputs!$B$78*Inputs!$B$81*IF(ISNUMBER(Matrix!C24),IF(Matrix!C24&lt;=Inputs!$B$85,1,0),0)+Inputs!$B$78*Inputs!$B$82*IF(ISNUMBER(Matrix!D24),IF(Matrix!D24&lt;=Inputs!$B$85,1,0),0)+Inputs!$B$75*Inputs!$B$80*IF(ISNUMBER(Matrix!B21),IF(Matrix!B21&lt;=Inputs!$B$85,1,0),0)+Inputs!$B$75*Inputs!$B$81*IF(ISNUMBER(Matrix!C21),IF(Matrix!C21&lt;=Inputs!$B$85,1,0),0)+Inputs!$B$75*Inputs!$B$82*IF(ISNUMBER(Matrix!D21),IF(Matrix!D21&lt;=Inputs!$B$85,1,0),0))/(SUM(Inputs!$B$71:$B$78)*SUM(Inputs!$B$80:$B$82))</f>
        <v>0.47</v>
      </c>
    </row>
    <row r="14" ht="27.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2.0"/>
    <col customWidth="1" min="2" max="4" width="18.0"/>
    <col customWidth="1" min="5" max="26" width="8.71"/>
  </cols>
  <sheetData>
    <row r="1">
      <c r="A1" s="1" t="s">
        <v>242</v>
      </c>
    </row>
    <row r="2">
      <c r="A2" s="2" t="s">
        <v>243</v>
      </c>
    </row>
    <row r="4">
      <c r="A4" s="9" t="s">
        <v>220</v>
      </c>
      <c r="B4" s="9" t="s">
        <v>221</v>
      </c>
      <c r="C4" s="9" t="s">
        <v>222</v>
      </c>
      <c r="D4" s="9" t="s">
        <v>223</v>
      </c>
    </row>
    <row r="5">
      <c r="A5" s="12" t="str">
        <f>Inputs!A89</f>
        <v>Non users</v>
      </c>
      <c r="B5" s="35">
        <f>Inputs!B89</f>
        <v>0</v>
      </c>
      <c r="C5" s="36">
        <f>Inputs!C89</f>
        <v>0.48</v>
      </c>
      <c r="D5" s="36">
        <f>Inputs!D89</f>
        <v>0.3</v>
      </c>
    </row>
    <row r="6">
      <c r="A6" s="12" t="str">
        <f>Inputs!A90</f>
        <v>Light users (a few times a year to monthly)</v>
      </c>
      <c r="B6" s="35">
        <f>Inputs!B90</f>
        <v>20000</v>
      </c>
      <c r="C6" s="36">
        <f>Inputs!C90</f>
        <v>0.22</v>
      </c>
      <c r="D6" s="36">
        <f>Inputs!D90</f>
        <v>0.2</v>
      </c>
    </row>
    <row r="7">
      <c r="A7" s="12" t="str">
        <f>Inputs!A91</f>
        <v>Weekly users</v>
      </c>
      <c r="B7" s="35">
        <f>Inputs!B91</f>
        <v>100000</v>
      </c>
      <c r="C7" s="36">
        <f>Inputs!C91</f>
        <v>0.15</v>
      </c>
      <c r="D7" s="36">
        <f>Inputs!D91</f>
        <v>0.2</v>
      </c>
    </row>
    <row r="8">
      <c r="A8" s="12" t="str">
        <f>Inputs!A92</f>
        <v>Daily users</v>
      </c>
      <c r="B8" s="35">
        <f>Inputs!B92</f>
        <v>500000</v>
      </c>
      <c r="C8" s="36">
        <f>Inputs!C92</f>
        <v>0.14</v>
      </c>
      <c r="D8" s="36">
        <f>Inputs!D92</f>
        <v>0.25</v>
      </c>
    </row>
    <row r="9">
      <c r="A9" s="12" t="str">
        <f>Inputs!A93</f>
        <v>Power users (daily agentic work)</v>
      </c>
      <c r="B9" s="35">
        <f>Inputs!B93</f>
        <v>15000000</v>
      </c>
      <c r="C9" s="36">
        <f>Inputs!C93</f>
        <v>0.01</v>
      </c>
      <c r="D9" s="36">
        <f>Inputs!D93</f>
        <v>0.05</v>
      </c>
    </row>
    <row r="10">
      <c r="A10" s="29" t="s">
        <v>245</v>
      </c>
      <c r="C10" s="36">
        <f t="shared" ref="C10:D10" si="1">SUM(C5:C9)</f>
        <v>1</v>
      </c>
      <c r="D10" s="36">
        <f t="shared" si="1"/>
        <v>1</v>
      </c>
    </row>
    <row r="12">
      <c r="A12" s="12" t="s">
        <v>246</v>
      </c>
      <c r="B12" s="37">
        <f>Inputs!B94</f>
        <v>183.9</v>
      </c>
    </row>
    <row r="13">
      <c r="A13" s="12" t="s">
        <v>247</v>
      </c>
      <c r="B13" s="37">
        <f>B12*SUMPRODUCT(B5:B9,C5:C9)/1000000</f>
        <v>44.02566</v>
      </c>
    </row>
    <row r="14">
      <c r="A14" s="12" t="s">
        <v>248</v>
      </c>
      <c r="B14" s="37">
        <f>B12*SUMPRODUCT(B5:B9,D5:D9)/1000000</f>
        <v>165.3261</v>
      </c>
    </row>
    <row r="15">
      <c r="A15" s="12" t="s">
        <v>249</v>
      </c>
      <c r="B15" s="38">
        <f>B14/B13</f>
        <v>3.755221387</v>
      </c>
    </row>
    <row r="16">
      <c r="A16" s="12" t="s">
        <v>250</v>
      </c>
      <c r="B16" s="38">
        <f>B15^(1/3)</f>
        <v>1.554336988</v>
      </c>
    </row>
    <row r="17">
      <c r="A17" s="12" t="s">
        <v>251</v>
      </c>
      <c r="B17" s="36">
        <f>B13/(Inputs!$B$15*Inputs!$B$95)</f>
        <v>0.35220528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